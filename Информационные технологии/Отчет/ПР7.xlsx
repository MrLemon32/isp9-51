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1" sheetId="1" r:id="rId1"/>
    <sheet name="2" sheetId="2" r:id="rId2"/>
    <sheet name="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<sst xmlns="http://schemas.openxmlformats.org/spreadsheetml/2006/main" count="24" uniqueCount="24">
  <si>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Месяц</t>
  </si>
  <si>
    <t>Товар А</t>
  </si>
  <si>
    <t xml:space="preserve"> Товар Б</t>
  </si>
  <si>
    <t xml:space="preserve"> Товар В</t>
  </si>
  <si>
    <t>Итого</t>
  </si>
  <si>
    <t>Январь</t>
  </si>
  <si>
    <t>Февраль</t>
  </si>
  <si>
    <t>Март</t>
  </si>
  <si>
    <t>Среднее</t>
  </si>
  <si>
    <t>Округленное</t>
  </si>
  <si>
    <t>Всего</t>
  </si>
  <si>
    <t>Параметр</t>
  </si>
  <si>
    <t>Значение</t>
  </si>
  <si>
    <t>Начальный вклад</t>
  </si>
  <si>
    <t>Годовая ставка (%)</t>
  </si>
  <si>
    <t>Срок (лет)</t>
  </si>
  <si>
    <t>Итоговая сумма</t>
  </si>
  <si>
    <t>Ежемесячный платеж</t>
  </si>
  <si>
    <t>Округленный вверх</t>
  </si>
  <si>
    <t>Округленный вниз</t>
  </si>
  <si>
    <t>Случайные числа</t>
  </si>
  <si>
    <t xml:space="preserve">Среднее: </t>
  </si>
  <si>
    <t xml:space="preserve">Максимум: </t>
  </si>
  <si>
    <t xml:space="preserve">Минимум: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</si>
</sst>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3">
    <font>
      <sz val="11"/>
      <color theme="1"/>
      <name val="Calibri"/>
      <charset val="204"/>
      <scheme val="minor"/>
    </font>
    <font>
      <sz val="11"/>
      <color theme="1"/>
      <name val="Times New Roman"/>
      <charset val="204"/>
    </font>
    <font>
      <b/>
      <sz val="11"/>
      <color theme="1"/>
      <name val="Times New Roman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justify" vertical="center"/>
    </xf>
    <xf numFmtId="0" fontId="2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E8" sqref="E8"/>
    </sheetView>
  </sheetViews>
  <sheetFormatPr defaultColWidth="9" defaultRowHeight="15" outlineLevelRow="6" outlineLevelCol="4"/>
  <cols>
    <col min="1" max="1" width="17.5714285714286" customWidth="1"/>
    <col min="3" max="3" width="11.8571428571429" customWidth="1"/>
    <col min="4" max="4" width="10" customWidth="1"/>
  </cols>
  <sheetData>
    <row r="1" ht="28.5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</v>
      </c>
      <c r="B2" s="3">
        <v>15000</v>
      </c>
      <c r="C2" s="3">
        <v>22000</v>
      </c>
      <c r="D2" s="3">
        <v>18000</v>
      </c>
      <c r="E2" s="1">
        <f>SUM(B2:D2)</f>
        <v>55000</v>
      </c>
    </row>
    <row r="3" spans="1:5">
      <c r="A3" s="3" t="s">
        <v>6</v>
      </c>
      <c r="B3" s="3">
        <v>17000</v>
      </c>
      <c r="C3" s="3">
        <v>24000</v>
      </c>
      <c r="D3" s="3">
        <v>19000</v>
      </c>
      <c r="E3" s="1">
        <f t="shared" ref="E3:E4" si="0">SUM(B3:D3)</f>
        <v>60000</v>
      </c>
    </row>
    <row r="4" spans="1:5">
      <c r="A4" s="3" t="s">
        <v>7</v>
      </c>
      <c r="B4" s="3">
        <v>16000</v>
      </c>
      <c r="C4" s="3">
        <v>23000</v>
      </c>
      <c r="D4" s="3">
        <v>20000</v>
      </c>
      <c r="E4" s="1">
        <f t="shared" si="0"/>
        <v>59000</v>
      </c>
    </row>
    <row r="5" spans="1:5">
      <c r="A5" s="2" t="s">
        <v>8</v>
      </c>
      <c r="B5" s="1">
        <f>AVERAGE(B2:B4)</f>
        <v>16000</v>
      </c>
      <c r="C5" s="1">
        <f t="shared" ref="C5:D5" si="1">AVERAGE(C2:C4)</f>
        <v>23000</v>
      </c>
      <c r="D5" s="1">
        <f t="shared" si="1"/>
        <v>19000</v>
      </c>
      <c r="E5" s="3"/>
    </row>
    <row r="6" spans="1:5">
      <c r="A6" s="2" t="s">
        <v>9</v>
      </c>
      <c r="B6" s="1">
        <f>ROUND(B5,0)</f>
        <v>16000</v>
      </c>
      <c r="C6" s="1">
        <f t="shared" ref="C6:D6" si="2">ROUND(C5,0)</f>
        <v>23000</v>
      </c>
      <c r="D6" s="1">
        <f t="shared" si="2"/>
        <v>19000</v>
      </c>
      <c r="E6" s="4"/>
    </row>
    <row r="7" spans="1:2">
      <c r="A7" s="3" t="s">
        <v>10</v>
      </c>
      <c r="B7">
        <f>SUM(E2:E4)</f>
        <v>174000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B9" sqref="B9"/>
    </sheetView>
  </sheetViews>
  <sheetFormatPr defaultColWidth="9" defaultRowHeight="15" outlineLevelCol="1"/>
  <cols>
    <col min="1" max="1" width="23.5714285714286" customWidth="1"/>
    <col min="2" max="2" width="17.2857142857143" customWidth="1"/>
  </cols>
  <sheetData>
    <row r="1" spans="1:2">
      <c r="A1" s="2" t="s">
        <v>11</v>
      </c>
      <c r="B1" s="2" t="s">
        <v>12</v>
      </c>
    </row>
    <row r="2" spans="1:2">
      <c r="A2" s="3" t="s">
        <v>13</v>
      </c>
      <c r="B2" s="3">
        <v>100000</v>
      </c>
    </row>
    <row r="3" spans="1:2">
      <c r="A3" s="3" t="s">
        <v>14</v>
      </c>
      <c r="B3" s="3">
        <v>12</v>
      </c>
    </row>
    <row r="4" spans="1:2">
      <c r="A4" s="3" t="s">
        <v>15</v>
      </c>
      <c r="B4" s="3">
        <v>5</v>
      </c>
    </row>
    <row r="5" spans="1:2">
      <c r="A5" s="3" t="s">
        <v>16</v>
      </c>
      <c r="B5" s="1">
        <f>B2*POWER(1+B3/100,B4)</f>
        <v>176234.16832</v>
      </c>
    </row>
    <row r="7" spans="1:2">
      <c r="A7" s="2" t="s">
        <v>17</v>
      </c>
      <c r="B7" s="1">
        <f>B5/(B4*12)</f>
        <v>2937.23613866667</v>
      </c>
    </row>
    <row r="8" spans="1:2">
      <c r="A8" s="2" t="s">
        <v>18</v>
      </c>
      <c r="B8" s="1">
        <f>CEILING(B7,100)</f>
        <v>3000</v>
      </c>
    </row>
    <row r="9" spans="1:2">
      <c r="A9" s="2" t="s">
        <v>19</v>
      </c>
      <c r="B9" s="1">
        <f>FLOOR(B7,100)</f>
        <v>2900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C18" sqref="C18"/>
    </sheetView>
  </sheetViews>
  <sheetFormatPr defaultColWidth="9" defaultRowHeight="15" outlineLevelCol="1"/>
  <cols>
    <col min="1" max="1" width="24.8571428571429" customWidth="1"/>
  </cols>
  <sheetData>
    <row r="1" spans="1:1">
      <c r="A1" t="s">
        <v>20</v>
      </c>
    </row>
    <row r="2" spans="1:1">
      <c r="A2" s="1">
        <f ca="1">RANDBETWEEN(1,100)</f>
        <v>9</v>
      </c>
    </row>
    <row r="3" spans="1:1">
      <c r="A3" s="1">
        <f ca="1" t="shared" ref="A3:A11" si="0">RANDBETWEEN(1,100)</f>
        <v>67</v>
      </c>
    </row>
    <row r="4" spans="1:1">
      <c r="A4" s="1">
        <f ca="1" t="shared" si="0"/>
        <v>43</v>
      </c>
    </row>
    <row r="5" spans="1:1">
      <c r="A5" s="1">
        <f ca="1" t="shared" si="0"/>
        <v>90</v>
      </c>
    </row>
    <row r="6" spans="1:1">
      <c r="A6" s="1">
        <f ca="1" t="shared" si="0"/>
        <v>35</v>
      </c>
    </row>
    <row r="7" spans="1:1">
      <c r="A7" s="1">
        <f ca="1" t="shared" si="0"/>
        <v>10</v>
      </c>
    </row>
    <row r="8" spans="1:1">
      <c r="A8" s="1">
        <f ca="1" t="shared" si="0"/>
        <v>33</v>
      </c>
    </row>
    <row r="9" spans="1:1">
      <c r="A9" s="1">
        <f ca="1" t="shared" si="0"/>
        <v>78</v>
      </c>
    </row>
    <row r="10" spans="1:1">
      <c r="A10" s="1">
        <f ca="1" t="shared" si="0"/>
        <v>78</v>
      </c>
    </row>
    <row r="11" spans="1:1">
      <c r="A11" s="1">
        <f ca="1" t="shared" si="0"/>
        <v>38</v>
      </c>
    </row>
    <row r="13" spans="1:2">
      <c r="A13" s="1" t="s">
        <v>21</v>
      </c>
      <c r="B13">
        <f ca="1">AVERAGE(A2:A11)</f>
        <v>48.1</v>
      </c>
    </row>
    <row r="14" spans="1:2">
      <c r="A14" s="1" t="s">
        <v>22</v>
      </c>
      <c r="B14">
        <f ca="1">MAX(A2:A11)</f>
        <v>90</v>
      </c>
    </row>
    <row r="15" spans="1:2">
      <c r="A15" s="1" t="s">
        <v>23</v>
      </c>
      <c r="B15">
        <f ca="1">MIN(A2:A11)</f>
        <v>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2025-11-18T08:21:00Z</dcterms:created>
  <dcterms:modified xsi:type="dcterms:W3CDTF">2025-11-18T08:33:38Z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8CE0C86CE8F14DAA9318F387CECF77D9_12</vt:lpwstr>
  </property>
  <property fmtid="{D5CDD505-2E9C-101B-9397-08002B2CF9AE}" pid="3" name="KSOProductBuildVer">
    <vt:lpwstr>1049-12.2.0.23155</vt:lpwstr>
  </property>
</Properties>
</file>