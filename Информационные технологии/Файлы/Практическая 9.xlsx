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itr\Downloads\"/>
    </mc:Choice>
  </mc:AlternateContent>
  <xr:revisionPtr revIDLastSave="0" documentId="8_{093BD098-FC77-430D-966E-34DC17EB6335}" xr6:coauthVersionLast="47" xr6:coauthVersionMax="47" xr10:uidLastSave="{00000000-0000-0000-0000-000000000000}"/>
  <bookViews>
    <workbookView xWindow="-96" yWindow="-96" windowWidth="23232" windowHeight="13872" xr2:uid="{02249FCD-1076-4730-935F-68C3D6919E4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7" i="1" l="1"/>
  <c r="C77" i="1"/>
  <c r="B77" i="1"/>
  <c r="C76" i="1"/>
  <c r="D76" i="1"/>
  <c r="B76" i="1"/>
  <c r="G27" i="1"/>
  <c r="G22" i="1"/>
  <c r="G23" i="1"/>
  <c r="G24" i="1" s="1"/>
  <c r="G25" i="1" s="1"/>
  <c r="G26" i="1" s="1"/>
  <c r="E23" i="1"/>
  <c r="E24" i="1"/>
  <c r="E25" i="1" s="1"/>
  <c r="E26" i="1" s="1"/>
  <c r="E27" i="1" s="1"/>
  <c r="E22" i="1"/>
  <c r="G21" i="1"/>
  <c r="E21" i="1"/>
  <c r="F23" i="1"/>
  <c r="F24" i="1"/>
  <c r="F25" i="1"/>
  <c r="F26" i="1"/>
  <c r="F27" i="1"/>
  <c r="F22" i="1"/>
  <c r="F21" i="1"/>
  <c r="D23" i="1"/>
  <c r="D24" i="1"/>
  <c r="D25" i="1"/>
  <c r="D26" i="1"/>
  <c r="D27" i="1"/>
  <c r="D22" i="1"/>
  <c r="D21" i="1"/>
  <c r="C21" i="1"/>
  <c r="B21" i="1"/>
  <c r="B27" i="1"/>
  <c r="B22" i="1"/>
  <c r="C22" i="1"/>
  <c r="C12" i="1"/>
  <c r="C74" i="1" s="1"/>
  <c r="D12" i="1"/>
  <c r="D74" i="1" s="1"/>
  <c r="B12" i="1"/>
  <c r="B74" i="1" s="1"/>
  <c r="G57" i="1"/>
  <c r="B58" i="1" s="1"/>
  <c r="G58" i="1"/>
  <c r="H58" i="1"/>
  <c r="I58" i="1"/>
  <c r="G59" i="1"/>
  <c r="H59" i="1"/>
  <c r="I59" i="1"/>
  <c r="G60" i="1"/>
  <c r="H60" i="1"/>
  <c r="I60" i="1"/>
  <c r="G61" i="1"/>
  <c r="H61" i="1"/>
  <c r="C66" i="1" s="1"/>
  <c r="I61" i="1"/>
  <c r="H57" i="1"/>
  <c r="C58" i="1" s="1"/>
  <c r="I57" i="1"/>
  <c r="D58" i="1" s="1"/>
  <c r="B11" i="1"/>
  <c r="B73" i="1" s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F43" i="1"/>
  <c r="G43" i="1"/>
  <c r="E43" i="1"/>
  <c r="B44" i="1"/>
  <c r="C44" i="1"/>
  <c r="D44" i="1"/>
  <c r="B45" i="1"/>
  <c r="C45" i="1"/>
  <c r="D45" i="1"/>
  <c r="B46" i="1"/>
  <c r="C46" i="1"/>
  <c r="D46" i="1"/>
  <c r="B47" i="1"/>
  <c r="C47" i="1"/>
  <c r="D47" i="1"/>
  <c r="B48" i="1"/>
  <c r="C48" i="1"/>
  <c r="D48" i="1"/>
  <c r="C43" i="1"/>
  <c r="D43" i="1"/>
  <c r="B43" i="1"/>
  <c r="B31" i="1"/>
  <c r="C32" i="1"/>
  <c r="D36" i="1"/>
  <c r="B36" i="1"/>
  <c r="C31" i="1"/>
  <c r="D31" i="1"/>
  <c r="D32" i="1"/>
  <c r="C33" i="1"/>
  <c r="D33" i="1"/>
  <c r="C34" i="1"/>
  <c r="D34" i="1"/>
  <c r="C35" i="1"/>
  <c r="D35" i="1"/>
  <c r="C36" i="1"/>
  <c r="B32" i="1"/>
  <c r="B33" i="1"/>
  <c r="B34" i="1"/>
  <c r="B35" i="1"/>
  <c r="B26" i="1"/>
  <c r="B25" i="1"/>
  <c r="B24" i="1"/>
  <c r="B23" i="1"/>
  <c r="B13" i="1"/>
  <c r="B75" i="1" s="1"/>
  <c r="C13" i="1"/>
  <c r="C75" i="1" s="1"/>
  <c r="D13" i="1"/>
  <c r="D75" i="1" s="1"/>
  <c r="C11" i="1"/>
  <c r="C73" i="1" s="1"/>
  <c r="D11" i="1"/>
  <c r="D73" i="1" s="1"/>
  <c r="B65" i="1" l="1"/>
  <c r="C61" i="1"/>
  <c r="B59" i="1"/>
  <c r="C50" i="1"/>
  <c r="C51" i="1" s="1"/>
  <c r="D63" i="1"/>
  <c r="C63" i="1"/>
  <c r="C23" i="1"/>
  <c r="C24" i="1" s="1"/>
  <c r="C25" i="1" s="1"/>
  <c r="C26" i="1" s="1"/>
  <c r="C27" i="1" s="1"/>
  <c r="B66" i="1"/>
  <c r="B50" i="1"/>
  <c r="G50" i="1"/>
  <c r="D78" i="1" s="1"/>
  <c r="E50" i="1"/>
  <c r="B78" i="1" s="1"/>
  <c r="C64" i="1"/>
  <c r="F50" i="1"/>
  <c r="C78" i="1" s="1"/>
  <c r="B63" i="1"/>
  <c r="C60" i="1"/>
  <c r="B64" i="1"/>
  <c r="D60" i="1"/>
  <c r="B60" i="1"/>
  <c r="C62" i="1"/>
  <c r="D50" i="1"/>
  <c r="D64" i="1"/>
  <c r="B62" i="1"/>
  <c r="C65" i="1"/>
  <c r="D61" i="1"/>
  <c r="D66" i="1"/>
  <c r="D79" i="1"/>
  <c r="C59" i="1"/>
  <c r="D59" i="1"/>
  <c r="B61" i="1"/>
  <c r="D65" i="1"/>
  <c r="D62" i="1"/>
  <c r="C79" i="1" l="1"/>
  <c r="B52" i="1"/>
  <c r="B81" i="1" s="1"/>
  <c r="D52" i="1"/>
  <c r="D81" i="1" s="1"/>
  <c r="C52" i="1"/>
  <c r="C81" i="1" s="1"/>
  <c r="B51" i="1"/>
  <c r="B80" i="1" s="1"/>
  <c r="C68" i="1"/>
  <c r="C82" i="1" s="1"/>
  <c r="D51" i="1"/>
  <c r="D80" i="1" s="1"/>
  <c r="C69" i="1"/>
  <c r="C83" i="1" s="1"/>
  <c r="B68" i="1"/>
  <c r="B82" i="1" s="1"/>
  <c r="B79" i="1"/>
  <c r="D69" i="1"/>
  <c r="D83" i="1" s="1"/>
  <c r="C80" i="1"/>
  <c r="D68" i="1"/>
  <c r="D82" i="1" s="1"/>
  <c r="B69" i="1"/>
  <c r="B83" i="1" s="1"/>
</calcChain>
</file>

<file path=xl/sharedStrings.xml><?xml version="1.0" encoding="utf-8"?>
<sst xmlns="http://schemas.openxmlformats.org/spreadsheetml/2006/main" count="103" uniqueCount="62">
  <si>
    <t>Параметр</t>
  </si>
  <si>
    <t>Проект А</t>
  </si>
  <si>
    <t>Проект Б</t>
  </si>
  <si>
    <t>Проект В</t>
  </si>
  <si>
    <t>Начальные инвестиции</t>
  </si>
  <si>
    <t>Годовой доход 1 год</t>
  </si>
  <si>
    <t>Годовой доход 2 год</t>
  </si>
  <si>
    <t>Годовой доход 3 год</t>
  </si>
  <si>
    <t>Годовой доход 4 год</t>
  </si>
  <si>
    <t>Годовой доход 5 год</t>
  </si>
  <si>
    <t>Ликвидационная стоимость</t>
  </si>
  <si>
    <t>Ставка дисконтирования</t>
  </si>
  <si>
    <t>Индекс рентабельности</t>
  </si>
  <si>
    <t>Дисконтированный срок окупаемости</t>
  </si>
  <si>
    <t>Чистая приведенная стоимость</t>
  </si>
  <si>
    <t>Внутренняя ставка доходности</t>
  </si>
  <si>
    <t>Сумма</t>
  </si>
  <si>
    <t>Среднее</t>
  </si>
  <si>
    <t>С нарастающим итогом</t>
  </si>
  <si>
    <t>Количество</t>
  </si>
  <si>
    <t>Период</t>
  </si>
  <si>
    <t>Дисконтированный поток</t>
  </si>
  <si>
    <t>Накопленный поток</t>
  </si>
  <si>
    <t>Таблица зависимости ЧПС от ставки дисконтирования</t>
  </si>
  <si>
    <t>Ставка</t>
  </si>
  <si>
    <t>Точки Фишера: 0% ставка для проектов A и В, 100% ставка для проектов Б и В</t>
  </si>
  <si>
    <t>Анализ сценариев</t>
  </si>
  <si>
    <t>Пессимистичный</t>
  </si>
  <si>
    <t>Оптимистичный</t>
  </si>
  <si>
    <t>Максимальная ЧСП</t>
  </si>
  <si>
    <t>Минимальная ЧСП</t>
  </si>
  <si>
    <t>Расчет налогов</t>
  </si>
  <si>
    <t>Амортизация</t>
  </si>
  <si>
    <t>Годовой налог 1 год</t>
  </si>
  <si>
    <t>Годовой налог 2 год</t>
  </si>
  <si>
    <t>Годовой налог 3 год</t>
  </si>
  <si>
    <t>Годовой налог 4 год</t>
  </si>
  <si>
    <t>Годовой налог 5 год</t>
  </si>
  <si>
    <t>Годовой налог 0 год</t>
  </si>
  <si>
    <t>Годовой налог -1 год</t>
  </si>
  <si>
    <t>Годовой налог -2 год</t>
  </si>
  <si>
    <t>Годовой налог -3 год</t>
  </si>
  <si>
    <t>Годовой налог -4 год</t>
  </si>
  <si>
    <t>Годовой доход 6 год</t>
  </si>
  <si>
    <t>Годовой доход 7 год</t>
  </si>
  <si>
    <t>Годовой доход 8 год</t>
  </si>
  <si>
    <t>Годовой доход 9 год</t>
  </si>
  <si>
    <t>ЧПС</t>
  </si>
  <si>
    <t>ВСД</t>
  </si>
  <si>
    <t>Итоговая таблица</t>
  </si>
  <si>
    <t>ЧПС Базовый</t>
  </si>
  <si>
    <t xml:space="preserve">ВСД базовый  </t>
  </si>
  <si>
    <t>ЧПС оптимистичный</t>
  </si>
  <si>
    <t>ЧПС пессимистичный</t>
  </si>
  <si>
    <t>ЧПС с налогами</t>
  </si>
  <si>
    <t>ВСД с налогами</t>
  </si>
  <si>
    <t>Дисконтированный поток А</t>
  </si>
  <si>
    <t>Накопленный поток А</t>
  </si>
  <si>
    <t xml:space="preserve">Дисконтированный поток Б </t>
  </si>
  <si>
    <t>Накопленный поток Б</t>
  </si>
  <si>
    <t>Дисконтированный поток В</t>
  </si>
  <si>
    <t>Накопленный поток 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</si>
</sst>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₽&quot;;[Red]\-#,##0.00\ &quot;₽&quot;"/>
  </numFmts>
  <fonts count="7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0"/>
      <color theme="1"/>
      <name val="Calibri"/>
      <family val="2"/>
      <charset val="204"/>
    </font>
    <font>
      <sz val="8"/>
      <name val="Aptos Narrow"/>
      <family val="2"/>
      <charset val="204"/>
      <scheme val="minor"/>
    </font>
    <font>
      <b/>
      <sz val="8"/>
      <color theme="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8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77">
    <xf numFmtId="0" fontId="0" fillId="0" borderId="0" xfId="0"/>
    <xf numFmtId="3" fontId="0" fillId="0" borderId="0" xfId="0" applyNumberFormat="1"/>
    <xf numFmtId="9" fontId="0" fillId="0" borderId="0" xfId="0" applyNumberFormat="1"/>
    <xf numFmtId="0" fontId="3" fillId="0" borderId="2" xfId="0" applyFont="1" applyBorder="1" applyAlignment="1">
      <alignment horizontal="left" vertical="center" wrapText="1" indent="2"/>
    </xf>
    <xf numFmtId="9" fontId="3" fillId="0" borderId="2" xfId="0" applyNumberFormat="1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left" vertical="center" wrapText="1" indent="2"/>
    </xf>
    <xf numFmtId="0" fontId="3" fillId="0" borderId="5" xfId="0" applyFont="1" applyBorder="1" applyAlignment="1">
      <alignment horizontal="left" vertical="center" wrapText="1" indent="2"/>
    </xf>
    <xf numFmtId="0" fontId="3" fillId="0" borderId="6" xfId="0" applyFont="1" applyBorder="1" applyAlignment="1">
      <alignment horizontal="left" vertical="center" wrapText="1" indent="2"/>
    </xf>
    <xf numFmtId="0" fontId="3" fillId="0" borderId="8" xfId="0" applyFont="1" applyBorder="1" applyAlignment="1">
      <alignment horizontal="left" vertical="center" wrapText="1" indent="2"/>
    </xf>
    <xf numFmtId="9" fontId="3" fillId="0" borderId="9" xfId="0" applyNumberFormat="1" applyFont="1" applyBorder="1" applyAlignment="1">
      <alignment horizontal="left" vertical="center" wrapText="1" indent="2"/>
    </xf>
    <xf numFmtId="9" fontId="3" fillId="0" borderId="10" xfId="0" applyNumberFormat="1" applyFont="1" applyBorder="1" applyAlignment="1">
      <alignment horizontal="left" vertical="center" wrapText="1" indent="2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0" xfId="0" applyBorder="1"/>
    <xf numFmtId="4" fontId="3" fillId="0" borderId="2" xfId="0" applyNumberFormat="1" applyFont="1" applyBorder="1" applyAlignment="1">
      <alignment horizontal="left" vertical="center" wrapText="1" indent="2"/>
    </xf>
    <xf numFmtId="4" fontId="3" fillId="0" borderId="7" xfId="0" applyNumberFormat="1" applyFont="1" applyBorder="1" applyAlignment="1">
      <alignment horizontal="left" vertical="center" wrapText="1" indent="2"/>
    </xf>
    <xf numFmtId="0" fontId="6" fillId="0" borderId="0" xfId="0" applyFont="1" applyAlignment="1">
      <alignment horizontal="center"/>
    </xf>
    <xf numFmtId="4" fontId="0" fillId="0" borderId="2" xfId="0" applyNumberFormat="1" applyBorder="1"/>
    <xf numFmtId="0" fontId="0" fillId="0" borderId="3" xfId="0" applyBorder="1"/>
    <xf numFmtId="4" fontId="0" fillId="0" borderId="7" xfId="0" applyNumberFormat="1" applyBorder="1"/>
    <xf numFmtId="0" fontId="0" fillId="0" borderId="9" xfId="0" applyBorder="1"/>
    <xf numFmtId="4" fontId="0" fillId="0" borderId="10" xfId="0" applyNumberFormat="1" applyBorder="1"/>
    <xf numFmtId="9" fontId="0" fillId="0" borderId="2" xfId="0" applyNumberFormat="1" applyBorder="1"/>
    <xf numFmtId="8" fontId="0" fillId="0" borderId="2" xfId="0" applyNumberFormat="1" applyBorder="1"/>
    <xf numFmtId="9" fontId="0" fillId="0" borderId="6" xfId="0" applyNumberFormat="1" applyBorder="1"/>
    <xf numFmtId="8" fontId="0" fillId="0" borderId="7" xfId="0" applyNumberFormat="1" applyBorder="1"/>
    <xf numFmtId="9" fontId="0" fillId="0" borderId="8" xfId="0" applyNumberFormat="1" applyBorder="1"/>
    <xf numFmtId="8" fontId="0" fillId="0" borderId="9" xfId="0" applyNumberFormat="1" applyBorder="1"/>
    <xf numFmtId="8" fontId="0" fillId="0" borderId="10" xfId="0" applyNumberFormat="1" applyBorder="1"/>
    <xf numFmtId="9" fontId="0" fillId="0" borderId="0" xfId="0" applyNumberFormat="1" applyBorder="1"/>
    <xf numFmtId="8" fontId="0" fillId="0" borderId="0" xfId="0" applyNumberFormat="1" applyBorder="1"/>
    <xf numFmtId="10" fontId="0" fillId="0" borderId="0" xfId="0" applyNumberFormat="1" applyBorder="1"/>
    <xf numFmtId="9" fontId="6" fillId="0" borderId="0" xfId="0" applyNumberFormat="1" applyFont="1" applyAlignment="1">
      <alignment horizontal="center"/>
    </xf>
    <xf numFmtId="2" fontId="3" fillId="0" borderId="0" xfId="0" applyNumberFormat="1" applyFont="1" applyFill="1" applyBorder="1" applyAlignment="1">
      <alignment horizontal="left" vertical="center"/>
    </xf>
    <xf numFmtId="2" fontId="0" fillId="0" borderId="0" xfId="0" applyNumberFormat="1" applyBorder="1" applyAlignment="1">
      <alignment horizontal="left"/>
    </xf>
    <xf numFmtId="2" fontId="3" fillId="0" borderId="2" xfId="0" applyNumberFormat="1" applyFont="1" applyBorder="1" applyAlignment="1">
      <alignment horizontal="left" vertical="center" wrapText="1" indent="2"/>
    </xf>
    <xf numFmtId="2" fontId="3" fillId="0" borderId="7" xfId="0" applyNumberFormat="1" applyFont="1" applyBorder="1" applyAlignment="1">
      <alignment horizontal="left" vertical="center" wrapText="1" indent="2"/>
    </xf>
    <xf numFmtId="10" fontId="6" fillId="0" borderId="11" xfId="0" applyNumberFormat="1" applyFont="1" applyBorder="1" applyAlignment="1">
      <alignment horizontal="center"/>
    </xf>
    <xf numFmtId="10" fontId="6" fillId="0" borderId="12" xfId="0" applyNumberFormat="1" applyFont="1" applyBorder="1" applyAlignment="1">
      <alignment horizontal="center"/>
    </xf>
    <xf numFmtId="10" fontId="6" fillId="0" borderId="13" xfId="0" applyNumberFormat="1" applyFont="1" applyBorder="1" applyAlignment="1">
      <alignment horizontal="center"/>
    </xf>
    <xf numFmtId="0" fontId="3" fillId="0" borderId="7" xfId="0" applyFont="1" applyBorder="1" applyAlignment="1">
      <alignment horizontal="left" vertical="center" wrapText="1" indent="2"/>
    </xf>
    <xf numFmtId="10" fontId="0" fillId="0" borderId="6" xfId="0" applyNumberFormat="1" applyBorder="1"/>
    <xf numFmtId="10" fontId="0" fillId="0" borderId="8" xfId="0" applyNumberFormat="1" applyBorder="1"/>
    <xf numFmtId="2" fontId="0" fillId="0" borderId="2" xfId="0" applyNumberFormat="1" applyBorder="1"/>
    <xf numFmtId="9" fontId="0" fillId="0" borderId="2" xfId="1" applyFont="1" applyBorder="1"/>
    <xf numFmtId="2" fontId="0" fillId="0" borderId="2" xfId="1" applyNumberFormat="1" applyFont="1" applyBorder="1"/>
    <xf numFmtId="2" fontId="0" fillId="0" borderId="7" xfId="0" applyNumberFormat="1" applyBorder="1"/>
    <xf numFmtId="9" fontId="0" fillId="0" borderId="7" xfId="1" applyFont="1" applyBorder="1"/>
    <xf numFmtId="2" fontId="0" fillId="0" borderId="7" xfId="1" applyNumberFormat="1" applyFont="1" applyBorder="1"/>
    <xf numFmtId="0" fontId="0" fillId="0" borderId="14" xfId="0" applyBorder="1"/>
    <xf numFmtId="10" fontId="0" fillId="0" borderId="15" xfId="0" applyNumberFormat="1" applyBorder="1"/>
    <xf numFmtId="9" fontId="0" fillId="0" borderId="9" xfId="0" applyNumberFormat="1" applyBorder="1"/>
    <xf numFmtId="9" fontId="0" fillId="0" borderId="10" xfId="0" applyNumberFormat="1" applyBorder="1"/>
    <xf numFmtId="2" fontId="6" fillId="0" borderId="2" xfId="0" applyNumberFormat="1" applyFont="1" applyBorder="1" applyAlignment="1"/>
    <xf numFmtId="2" fontId="0" fillId="0" borderId="4" xfId="0" applyNumberFormat="1" applyBorder="1"/>
    <xf numFmtId="2" fontId="0" fillId="0" borderId="5" xfId="0" applyNumberFormat="1" applyBorder="1"/>
    <xf numFmtId="2" fontId="0" fillId="0" borderId="9" xfId="0" applyNumberFormat="1" applyBorder="1"/>
    <xf numFmtId="2" fontId="0" fillId="0" borderId="10" xfId="0" applyNumberFormat="1" applyBorder="1"/>
    <xf numFmtId="9" fontId="0" fillId="0" borderId="3" xfId="0" applyNumberFormat="1" applyBorder="1" applyAlignment="1"/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0" fontId="0" fillId="0" borderId="7" xfId="0" applyBorder="1"/>
    <xf numFmtId="9" fontId="3" fillId="0" borderId="7" xfId="0" applyNumberFormat="1" applyFont="1" applyBorder="1" applyAlignment="1">
      <alignment horizontal="left" vertical="center" wrapText="1" indent="2"/>
    </xf>
    <xf numFmtId="3" fontId="2" fillId="2" borderId="9" xfId="2" applyNumberFormat="1" applyBorder="1"/>
    <xf numFmtId="3" fontId="2" fillId="2" borderId="10" xfId="2" applyNumberFormat="1" applyBorder="1"/>
    <xf numFmtId="0" fontId="5" fillId="2" borderId="16" xfId="2" applyFont="1" applyBorder="1" applyAlignment="1">
      <alignment horizontal="left" vertical="center" wrapText="1" indent="2"/>
    </xf>
    <xf numFmtId="3" fontId="2" fillId="2" borderId="17" xfId="2" applyNumberFormat="1" applyBorder="1"/>
    <xf numFmtId="10" fontId="0" fillId="0" borderId="3" xfId="0" applyNumberFormat="1" applyBorder="1"/>
    <xf numFmtId="8" fontId="0" fillId="0" borderId="4" xfId="0" applyNumberFormat="1" applyBorder="1"/>
    <xf numFmtId="8" fontId="0" fillId="0" borderId="5" xfId="0" applyNumberFormat="1" applyBorder="1"/>
    <xf numFmtId="9" fontId="0" fillId="0" borderId="7" xfId="0" applyNumberFormat="1" applyBorder="1"/>
    <xf numFmtId="0" fontId="0" fillId="0" borderId="10" xfId="0" applyBorder="1"/>
  </cellXfs>
  <cellStyles count="3">
    <cellStyle name="Контрольная ячейка" xfId="2" builtinId="23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b="1">
                <a:effectLst/>
              </a:rPr>
              <a:t>Профиль ЧПС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Лист1!$B$30</c:f>
              <c:strCache>
                <c:ptCount val="1"/>
                <c:pt idx="0">
                  <c:v>Проект 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Лист1!$A$31:$A$36</c:f>
              <c:numCache>
                <c:formatCode>0%</c:formatCode>
                <c:ptCount val="6"/>
                <c:pt idx="0">
                  <c:v>0.08</c:v>
                </c:pt>
                <c:pt idx="1">
                  <c:v>0.1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0.16</c:v>
                </c:pt>
                <c:pt idx="5">
                  <c:v>0.18</c:v>
                </c:pt>
              </c:numCache>
            </c:numRef>
          </c:cat>
          <c:val>
            <c:numRef>
              <c:f>Лист1!$B$31:$B$36</c:f>
              <c:numCache>
                <c:formatCode>"₽"#,##0.00_);[Red]\("₽"#,##0.00\)</c:formatCode>
                <c:ptCount val="6"/>
                <c:pt idx="0">
                  <c:v>528722.25996286911</c:v>
                </c:pt>
                <c:pt idx="1">
                  <c:v>415852.1778250928</c:v>
                </c:pt>
                <c:pt idx="2">
                  <c:v>312424.39461907023</c:v>
                </c:pt>
                <c:pt idx="3">
                  <c:v>217447.3448329966</c:v>
                </c:pt>
                <c:pt idx="4">
                  <c:v>130051.86711568106</c:v>
                </c:pt>
                <c:pt idx="5">
                  <c:v>49474.045569484588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D-4E9B-80AA-B9CBE1DCBDC2}"/>
            </c:ext>
          </c:extLst>
        </c:ser>
        <c:ser>
          <c:idx val="1"/>
          <c:order val="1"/>
          <c:tx>
            <c:strRef>
              <c:f>Лист1!$C$30</c:f>
              <c:strCache>
                <c:ptCount val="1"/>
                <c:pt idx="0">
                  <c:v>Проект Б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Лист1!$A$31:$A$36</c:f>
              <c:numCache>
                <c:formatCode>0%</c:formatCode>
                <c:ptCount val="6"/>
                <c:pt idx="0">
                  <c:v>0.08</c:v>
                </c:pt>
                <c:pt idx="1">
                  <c:v>0.1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0.16</c:v>
                </c:pt>
                <c:pt idx="5">
                  <c:v>0.18</c:v>
                </c:pt>
              </c:numCache>
            </c:numRef>
          </c:cat>
          <c:val>
            <c:numRef>
              <c:f>Лист1!$C$31:$C$36</c:f>
              <c:numCache>
                <c:formatCode>"₽"#,##0.00_);[Red]\("₽"#,##0.00\)</c:formatCode>
                <c:ptCount val="6"/>
                <c:pt idx="0">
                  <c:v>858772.74872264126</c:v>
                </c:pt>
                <c:pt idx="1">
                  <c:v>702233.2282094704</c:v>
                </c:pt>
                <c:pt idx="2">
                  <c:v>558711.19114693673</c:v>
                </c:pt>
                <c:pt idx="3">
                  <c:v>426842.86598889111</c:v>
                </c:pt>
                <c:pt idx="4">
                  <c:v>305432.71058129938</c:v>
                </c:pt>
                <c:pt idx="5">
                  <c:v>193429.82671678159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D-4E9B-80AA-B9CBE1DCBDC2}"/>
            </c:ext>
          </c:extLst>
        </c:ser>
        <c:ser>
          <c:idx val="2"/>
          <c:order val="2"/>
          <c:tx>
            <c:strRef>
              <c:f>Лист1!$D$30</c:f>
              <c:strCache>
                <c:ptCount val="1"/>
                <c:pt idx="0">
                  <c:v>Проект В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Лист1!$A$31:$A$36</c:f>
              <c:numCache>
                <c:formatCode>0%</c:formatCode>
                <c:ptCount val="6"/>
                <c:pt idx="0">
                  <c:v>0.08</c:v>
                </c:pt>
                <c:pt idx="1">
                  <c:v>0.1</c:v>
                </c:pt>
                <c:pt idx="2">
                  <c:v>0.12</c:v>
                </c:pt>
                <c:pt idx="3">
                  <c:v>0.14000000000000001</c:v>
                </c:pt>
                <c:pt idx="4">
                  <c:v>0.16</c:v>
                </c:pt>
                <c:pt idx="5">
                  <c:v>0.18</c:v>
                </c:pt>
              </c:numCache>
            </c:numRef>
          </c:cat>
          <c:val>
            <c:numRef>
              <c:f>Лист1!$D$31:$D$36</c:f>
              <c:numCache>
                <c:formatCode>"₽"#,##0.00_);[Red]\("₽"#,##0.00\)</c:formatCode>
                <c:ptCount val="6"/>
                <c:pt idx="0">
                  <c:v>414428.70694430359</c:v>
                </c:pt>
                <c:pt idx="1">
                  <c:v>280395.76396183856</c:v>
                </c:pt>
                <c:pt idx="2">
                  <c:v>158056.64104003157</c:v>
                </c:pt>
                <c:pt idx="3">
                  <c:v>46148.604556879494</c:v>
                </c:pt>
                <c:pt idx="4">
                  <c:v>-56431.858192055952</c:v>
                </c:pt>
                <c:pt idx="5">
                  <c:v>-150651.74964081706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3D-4E9B-80AA-B9CBE1DCBD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568063"/>
        <c:axId val="723568543"/>
      </c:lineChart>
      <c:catAx>
        <c:axId val="723568063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568543"/>
        <c:crosses val="autoZero"/>
        <c:auto val="1"/>
        <c:lblAlgn val="ctr"/>
        <c:lblOffset val="100"/>
        <c:noMultiLvlLbl val="0"/>
      </c:catAx>
      <c:valAx>
        <c:axId val="723568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₽&quot;#,##0.00_);[Red]\(&quot;₽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2356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412622</xdr:colOff>
      <xdr:row>28</xdr:row>
      <xdr:rowOff>182880</xdr:rowOff>
    </xdr:from>
    <xdr:to>
      <xdr:col>11</xdr:col>
      <xdr:colOff>501962</xdr:colOff>
      <xdr:row>37</xdr:row>
      <xdr:rowOff>7686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82C1842-F263-D6CB-E1C9-F5FEC829E2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F99B5-9DAC-452C-A3A0-3E74D9AA746F}">
  <dimension ref="A1:I230"/>
  <sheetViews>
    <sheetView tabSelected="1" topLeftCell="A60" zoomScaleNormal="100" workbookViewId="0">
      <selection activeCell="E71" sqref="E71"/>
    </sheetView>
  </sheetViews>
  <sheetFormatPr defaultRowHeight="14.4" x14ac:dyDescent="0.3"/>
  <cols>
    <col min="1" max="7" width="25.109375" style="17" customWidth="1"/>
    <col min="8" max="16384" width="8.88671875" style="17"/>
  </cols>
  <sheetData>
    <row r="1" spans="1:5" ht="13.8" customHeight="1" x14ac:dyDescent="0.3">
      <c r="A1" s="5" t="s">
        <v>0</v>
      </c>
      <c r="B1" s="6" t="s">
        <v>1</v>
      </c>
      <c r="C1" s="6" t="s">
        <v>2</v>
      </c>
      <c r="D1" s="7" t="s">
        <v>3</v>
      </c>
      <c r="E1"/>
    </row>
    <row r="2" spans="1:5" ht="13.8" customHeight="1" x14ac:dyDescent="0.3">
      <c r="A2" s="8" t="s">
        <v>4</v>
      </c>
      <c r="B2" s="18">
        <v>-1500000</v>
      </c>
      <c r="C2" s="18">
        <v>-2000000</v>
      </c>
      <c r="D2" s="19">
        <v>-1800000</v>
      </c>
      <c r="E2"/>
    </row>
    <row r="3" spans="1:5" ht="13.8" customHeight="1" x14ac:dyDescent="0.3">
      <c r="A3" s="8" t="s">
        <v>5</v>
      </c>
      <c r="B3" s="18">
        <v>400000</v>
      </c>
      <c r="C3" s="18">
        <v>600000</v>
      </c>
      <c r="D3" s="19">
        <v>300000</v>
      </c>
      <c r="E3"/>
    </row>
    <row r="4" spans="1:5" ht="13.8" customHeight="1" x14ac:dyDescent="0.3">
      <c r="A4" s="8" t="s">
        <v>6</v>
      </c>
      <c r="B4" s="18">
        <v>450000</v>
      </c>
      <c r="C4" s="18">
        <v>650000</v>
      </c>
      <c r="D4" s="19">
        <v>450000</v>
      </c>
      <c r="E4"/>
    </row>
    <row r="5" spans="1:5" ht="13.8" customHeight="1" x14ac:dyDescent="0.3">
      <c r="A5" s="8" t="s">
        <v>7</v>
      </c>
      <c r="B5" s="18">
        <v>500000</v>
      </c>
      <c r="C5" s="18">
        <v>700000</v>
      </c>
      <c r="D5" s="19">
        <v>550000</v>
      </c>
      <c r="E5"/>
    </row>
    <row r="6" spans="1:5" ht="13.8" customHeight="1" x14ac:dyDescent="0.3">
      <c r="A6" s="8" t="s">
        <v>8</v>
      </c>
      <c r="B6" s="18">
        <v>550000</v>
      </c>
      <c r="C6" s="18">
        <v>750000</v>
      </c>
      <c r="D6" s="19">
        <v>650000</v>
      </c>
      <c r="E6"/>
    </row>
    <row r="7" spans="1:5" ht="13.8" customHeight="1" x14ac:dyDescent="0.3">
      <c r="A7" s="8" t="s">
        <v>9</v>
      </c>
      <c r="B7" s="18">
        <v>600000</v>
      </c>
      <c r="C7" s="18">
        <v>800000</v>
      </c>
      <c r="D7" s="19">
        <v>750000</v>
      </c>
      <c r="E7"/>
    </row>
    <row r="8" spans="1:5" ht="13.8" customHeight="1" x14ac:dyDescent="0.3">
      <c r="A8" s="8" t="s">
        <v>10</v>
      </c>
      <c r="B8" s="18">
        <v>100000</v>
      </c>
      <c r="C8" s="18">
        <v>150000</v>
      </c>
      <c r="D8" s="19">
        <v>200000</v>
      </c>
      <c r="E8"/>
    </row>
    <row r="9" spans="1:5" ht="13.8" customHeight="1" thickBot="1" x14ac:dyDescent="0.35">
      <c r="A9" s="9" t="s">
        <v>11</v>
      </c>
      <c r="B9" s="10">
        <v>0.12</v>
      </c>
      <c r="C9" s="10">
        <v>0.12</v>
      </c>
      <c r="D9" s="11">
        <v>0.12</v>
      </c>
      <c r="E9"/>
    </row>
    <row r="10" spans="1:5" ht="15" thickBot="1" x14ac:dyDescent="0.35">
      <c r="A10"/>
      <c r="B10"/>
      <c r="C10"/>
      <c r="D10"/>
      <c r="E10"/>
    </row>
    <row r="11" spans="1:5" x14ac:dyDescent="0.3">
      <c r="A11" s="22" t="s">
        <v>14</v>
      </c>
      <c r="B11" s="13">
        <f xml:space="preserve"> NPV(B9, B3:B8) + B2</f>
        <v>312424.39461907023</v>
      </c>
      <c r="C11" s="13">
        <f xml:space="preserve"> NPV(C9, C3:C8) + C2</f>
        <v>558711.19114693673</v>
      </c>
      <c r="D11" s="14">
        <f xml:space="preserve"> NPV(D9, D3:D8) + D2</f>
        <v>158056.64104003157</v>
      </c>
      <c r="E11"/>
    </row>
    <row r="12" spans="1:5" x14ac:dyDescent="0.3">
      <c r="A12" s="15" t="s">
        <v>15</v>
      </c>
      <c r="B12" s="26">
        <f>IRR(B2:B8)</f>
        <v>0.193117564122542</v>
      </c>
      <c r="C12" s="26">
        <f t="shared" ref="C12:D12" si="0">IRR(C2:C8)</f>
        <v>0.21871331300588981</v>
      </c>
      <c r="D12" s="75">
        <f t="shared" si="0"/>
        <v>0.14878528169434935</v>
      </c>
      <c r="E12"/>
    </row>
    <row r="13" spans="1:5" ht="15" thickBot="1" x14ac:dyDescent="0.35">
      <c r="A13" s="16" t="s">
        <v>12</v>
      </c>
      <c r="B13" s="24">
        <f>(NPV(B9, B3:B8) + ABS(B2)) / ABS(B2)</f>
        <v>2.2082829297460465</v>
      </c>
      <c r="C13" s="24">
        <f>(NPV(C9, C3:C8) + ABS(C2)) / ABS(C2)</f>
        <v>2.2793555955734681</v>
      </c>
      <c r="D13" s="76">
        <f t="shared" ref="C13:D13" si="1">(NPV(D9, D3:D8) + ABS(D2)) / ABS(D2)</f>
        <v>2.0878092450222399</v>
      </c>
      <c r="E13"/>
    </row>
    <row r="14" spans="1:5" x14ac:dyDescent="0.3">
      <c r="A14"/>
      <c r="B14"/>
      <c r="C14"/>
      <c r="D14"/>
      <c r="E14"/>
    </row>
    <row r="15" spans="1:5" x14ac:dyDescent="0.3">
      <c r="A15"/>
      <c r="B15"/>
      <c r="C15"/>
      <c r="D15"/>
      <c r="E15"/>
    </row>
    <row r="16" spans="1:5" x14ac:dyDescent="0.3">
      <c r="A16"/>
      <c r="B16"/>
      <c r="C16"/>
      <c r="D16"/>
      <c r="E16" s="1"/>
    </row>
    <row r="17" spans="1:7" x14ac:dyDescent="0.3">
      <c r="A17"/>
      <c r="B17"/>
      <c r="C17"/>
      <c r="D17"/>
      <c r="E17" s="1"/>
    </row>
    <row r="18" spans="1:7" x14ac:dyDescent="0.3">
      <c r="A18"/>
      <c r="B18"/>
      <c r="C18"/>
      <c r="D18"/>
      <c r="E18"/>
    </row>
    <row r="19" spans="1:7" ht="15" thickBot="1" x14ac:dyDescent="0.35">
      <c r="A19" s="20" t="s">
        <v>13</v>
      </c>
      <c r="B19" s="20"/>
      <c r="C19" s="20"/>
      <c r="D19"/>
      <c r="E19"/>
    </row>
    <row r="20" spans="1:7" x14ac:dyDescent="0.3">
      <c r="A20" s="22" t="s">
        <v>20</v>
      </c>
      <c r="B20" s="13" t="s">
        <v>56</v>
      </c>
      <c r="C20" s="14" t="s">
        <v>57</v>
      </c>
      <c r="D20" s="13" t="s">
        <v>58</v>
      </c>
      <c r="E20" s="14" t="s">
        <v>59</v>
      </c>
      <c r="F20" s="13" t="s">
        <v>60</v>
      </c>
      <c r="G20" s="14" t="s">
        <v>61</v>
      </c>
    </row>
    <row r="21" spans="1:7" x14ac:dyDescent="0.3">
      <c r="A21" s="15">
        <v>0</v>
      </c>
      <c r="B21" s="21">
        <f>B2</f>
        <v>-1500000</v>
      </c>
      <c r="C21" s="23">
        <f>B21</f>
        <v>-1500000</v>
      </c>
      <c r="D21" s="21">
        <f>D2</f>
        <v>-1800000</v>
      </c>
      <c r="E21" s="23">
        <f>D21</f>
        <v>-1800000</v>
      </c>
      <c r="F21" s="21">
        <f>D2</f>
        <v>-1800000</v>
      </c>
      <c r="G21" s="23">
        <f>F21</f>
        <v>-1800000</v>
      </c>
    </row>
    <row r="22" spans="1:7" x14ac:dyDescent="0.3">
      <c r="A22" s="15">
        <v>1</v>
      </c>
      <c r="B22" s="12">
        <f>B3/(1+0.12)^A22</f>
        <v>357142.8571428571</v>
      </c>
      <c r="C22" s="23">
        <f>C21+B22</f>
        <v>-1142857.142857143</v>
      </c>
      <c r="D22" s="12">
        <f>C3/(1+0.12)^$A22</f>
        <v>535714.28571428568</v>
      </c>
      <c r="E22" s="23">
        <f>E21+D22</f>
        <v>-1264285.7142857143</v>
      </c>
      <c r="F22" s="12">
        <f>D3/(1+0.12)^$A22</f>
        <v>267857.14285714284</v>
      </c>
      <c r="G22" s="23">
        <f>G21+F22</f>
        <v>-1532142.8571428573</v>
      </c>
    </row>
    <row r="23" spans="1:7" x14ac:dyDescent="0.3">
      <c r="A23" s="15">
        <v>2</v>
      </c>
      <c r="B23" s="12">
        <f>B4/(1+0.12)^A23</f>
        <v>358737.24489795911</v>
      </c>
      <c r="C23" s="23">
        <f>C22+B23</f>
        <v>-784119.8979591839</v>
      </c>
      <c r="D23" s="12">
        <f t="shared" ref="D23:F27" si="2">C4/(1+0.12)^$A23</f>
        <v>518176.0204081632</v>
      </c>
      <c r="E23" s="23">
        <f t="shared" ref="E23:G27" si="3">E22+D23</f>
        <v>-746109.69387755112</v>
      </c>
      <c r="F23" s="12">
        <f t="shared" ref="F23:F27" si="4">D4/(1+0.12)^$A23</f>
        <v>358737.24489795911</v>
      </c>
      <c r="G23" s="23">
        <f t="shared" si="3"/>
        <v>-1173405.6122448982</v>
      </c>
    </row>
    <row r="24" spans="1:7" x14ac:dyDescent="0.3">
      <c r="A24" s="15">
        <v>3</v>
      </c>
      <c r="B24" s="12">
        <f>B5/(1+0.12)^A24</f>
        <v>355890.12390670541</v>
      </c>
      <c r="C24" s="23">
        <f>C23+B24</f>
        <v>-428229.77405247849</v>
      </c>
      <c r="D24" s="12">
        <f t="shared" si="2"/>
        <v>498246.17346938764</v>
      </c>
      <c r="E24" s="23">
        <f t="shared" si="3"/>
        <v>-247863.52040816349</v>
      </c>
      <c r="F24" s="12">
        <f t="shared" si="4"/>
        <v>391479.13629737595</v>
      </c>
      <c r="G24" s="23">
        <f t="shared" si="3"/>
        <v>-781926.47594752233</v>
      </c>
    </row>
    <row r="25" spans="1:7" x14ac:dyDescent="0.3">
      <c r="A25" s="15">
        <v>4</v>
      </c>
      <c r="B25" s="12">
        <f>B6/(1+0.12)^A25</f>
        <v>349534.94312265713</v>
      </c>
      <c r="C25" s="23">
        <f>C24+B25</f>
        <v>-78694.830929821357</v>
      </c>
      <c r="D25" s="12">
        <f t="shared" si="2"/>
        <v>476638.55880362337</v>
      </c>
      <c r="E25" s="23">
        <f t="shared" si="3"/>
        <v>228775.03839545988</v>
      </c>
      <c r="F25" s="12">
        <f t="shared" si="4"/>
        <v>413086.75096314028</v>
      </c>
      <c r="G25" s="23">
        <f t="shared" si="3"/>
        <v>-368839.72498438205</v>
      </c>
    </row>
    <row r="26" spans="1:7" x14ac:dyDescent="0.3">
      <c r="A26" s="15">
        <v>5</v>
      </c>
      <c r="B26" s="12">
        <f>B7/(1+0.12)^A26</f>
        <v>340456.11343115952</v>
      </c>
      <c r="C26" s="23">
        <f>C25+B26</f>
        <v>261761.28250133817</v>
      </c>
      <c r="D26" s="12">
        <f t="shared" si="2"/>
        <v>453941.4845748794</v>
      </c>
      <c r="E26" s="23">
        <f t="shared" si="3"/>
        <v>682716.52297033928</v>
      </c>
      <c r="F26" s="12">
        <f t="shared" si="4"/>
        <v>425570.14178894943</v>
      </c>
      <c r="G26" s="23">
        <f t="shared" si="3"/>
        <v>56730.416804567387</v>
      </c>
    </row>
    <row r="27" spans="1:7" ht="15" thickBot="1" x14ac:dyDescent="0.35">
      <c r="A27" s="16">
        <v>6</v>
      </c>
      <c r="B27" s="24">
        <f>B8/(1+0.12)^A27</f>
        <v>50663.112117732067</v>
      </c>
      <c r="C27" s="25">
        <f>C26+B27</f>
        <v>312424.39461907023</v>
      </c>
      <c r="D27" s="12">
        <f t="shared" si="2"/>
        <v>75994.668176598105</v>
      </c>
      <c r="E27" s="23">
        <f t="shared" si="3"/>
        <v>758711.19114693743</v>
      </c>
      <c r="F27" s="12">
        <f t="shared" si="4"/>
        <v>101326.22423546413</v>
      </c>
      <c r="G27" s="23">
        <f>G26+F27</f>
        <v>158056.64104003151</v>
      </c>
    </row>
    <row r="28" spans="1:7" x14ac:dyDescent="0.3">
      <c r="A28"/>
      <c r="B28"/>
      <c r="C28"/>
      <c r="D28"/>
      <c r="E28"/>
    </row>
    <row r="29" spans="1:7" ht="15" thickBot="1" x14ac:dyDescent="0.35">
      <c r="A29" s="20" t="s">
        <v>23</v>
      </c>
      <c r="B29" s="20"/>
      <c r="C29" s="20"/>
      <c r="D29"/>
      <c r="E29"/>
    </row>
    <row r="30" spans="1:7" x14ac:dyDescent="0.3">
      <c r="A30" s="22" t="s">
        <v>24</v>
      </c>
      <c r="B30" s="13" t="s">
        <v>1</v>
      </c>
      <c r="C30" s="13" t="s">
        <v>2</v>
      </c>
      <c r="D30" s="14" t="s">
        <v>3</v>
      </c>
      <c r="E30"/>
    </row>
    <row r="31" spans="1:7" x14ac:dyDescent="0.3">
      <c r="A31" s="28">
        <v>0.08</v>
      </c>
      <c r="B31" s="27">
        <f>NPV($A31, B$3:B$8)+B$2</f>
        <v>528722.25996286911</v>
      </c>
      <c r="C31" s="27">
        <f t="shared" ref="C31:D31" si="5">NPV($A31, C$3:C$8)+C$2</f>
        <v>858772.74872264126</v>
      </c>
      <c r="D31" s="29">
        <f t="shared" si="5"/>
        <v>414428.70694430359</v>
      </c>
      <c r="E31"/>
    </row>
    <row r="32" spans="1:7" x14ac:dyDescent="0.3">
      <c r="A32" s="28">
        <v>0.1</v>
      </c>
      <c r="B32" s="27">
        <f t="shared" ref="B32:D36" si="6">NPV($A32, B$3:B$8)+B$2</f>
        <v>415852.1778250928</v>
      </c>
      <c r="C32" s="27">
        <f>NPV($A32, C$3:C$8)+C$2</f>
        <v>702233.2282094704</v>
      </c>
      <c r="D32" s="29">
        <f t="shared" si="6"/>
        <v>280395.76396183856</v>
      </c>
      <c r="E32"/>
    </row>
    <row r="33" spans="1:7" x14ac:dyDescent="0.3">
      <c r="A33" s="28">
        <v>0.12</v>
      </c>
      <c r="B33" s="27">
        <f t="shared" si="6"/>
        <v>312424.39461907023</v>
      </c>
      <c r="C33" s="27">
        <f t="shared" si="6"/>
        <v>558711.19114693673</v>
      </c>
      <c r="D33" s="29">
        <f t="shared" si="6"/>
        <v>158056.64104003157</v>
      </c>
      <c r="E33"/>
    </row>
    <row r="34" spans="1:7" x14ac:dyDescent="0.3">
      <c r="A34" s="28">
        <v>0.14000000000000001</v>
      </c>
      <c r="B34" s="27">
        <f t="shared" si="6"/>
        <v>217447.3448329966</v>
      </c>
      <c r="C34" s="27">
        <f t="shared" si="6"/>
        <v>426842.86598889111</v>
      </c>
      <c r="D34" s="29">
        <f t="shared" si="6"/>
        <v>46148.604556879494</v>
      </c>
      <c r="E34"/>
    </row>
    <row r="35" spans="1:7" x14ac:dyDescent="0.3">
      <c r="A35" s="28">
        <v>0.16</v>
      </c>
      <c r="B35" s="27">
        <f t="shared" si="6"/>
        <v>130051.86711568106</v>
      </c>
      <c r="C35" s="27">
        <f t="shared" si="6"/>
        <v>305432.71058129938</v>
      </c>
      <c r="D35" s="29">
        <f t="shared" si="6"/>
        <v>-56431.858192055952</v>
      </c>
      <c r="E35"/>
    </row>
    <row r="36" spans="1:7" ht="15" thickBot="1" x14ac:dyDescent="0.35">
      <c r="A36" s="30">
        <v>0.18</v>
      </c>
      <c r="B36" s="31">
        <f>NPV($A36, B$3:B$8)+B$2</f>
        <v>49474.045569484588</v>
      </c>
      <c r="C36" s="31">
        <f t="shared" si="6"/>
        <v>193429.82671678159</v>
      </c>
      <c r="D36" s="32">
        <f>NPV($A36, D$3:D$8)+D$2</f>
        <v>-150651.74964081706</v>
      </c>
      <c r="E36"/>
    </row>
    <row r="37" spans="1:7" x14ac:dyDescent="0.3">
      <c r="A37" s="2" t="s">
        <v>25</v>
      </c>
      <c r="B37"/>
      <c r="C37"/>
      <c r="D37"/>
      <c r="E37"/>
    </row>
    <row r="38" spans="1:7" x14ac:dyDescent="0.3">
      <c r="A38" s="2"/>
      <c r="B38"/>
      <c r="C38"/>
      <c r="D38"/>
      <c r="E38"/>
    </row>
    <row r="39" spans="1:7" ht="15" thickBot="1" x14ac:dyDescent="0.35">
      <c r="A39" s="36" t="s">
        <v>26</v>
      </c>
      <c r="B39" s="36"/>
      <c r="C39" s="36"/>
      <c r="D39"/>
    </row>
    <row r="40" spans="1:7" x14ac:dyDescent="0.3">
      <c r="A40" s="62"/>
      <c r="B40" s="63" t="s">
        <v>27</v>
      </c>
      <c r="C40" s="63"/>
      <c r="D40" s="63"/>
      <c r="E40" s="64" t="s">
        <v>28</v>
      </c>
      <c r="F40" s="64"/>
      <c r="G40" s="65"/>
    </row>
    <row r="41" spans="1:7" x14ac:dyDescent="0.3">
      <c r="A41" s="8" t="s">
        <v>0</v>
      </c>
      <c r="B41" s="12" t="s">
        <v>1</v>
      </c>
      <c r="C41" s="12" t="s">
        <v>2</v>
      </c>
      <c r="D41" s="12" t="s">
        <v>3</v>
      </c>
      <c r="E41" s="12" t="s">
        <v>1</v>
      </c>
      <c r="F41" s="12" t="s">
        <v>2</v>
      </c>
      <c r="G41" s="66" t="s">
        <v>3</v>
      </c>
    </row>
    <row r="42" spans="1:7" x14ac:dyDescent="0.3">
      <c r="A42" s="8" t="s">
        <v>4</v>
      </c>
      <c r="B42" s="18">
        <v>-1500000</v>
      </c>
      <c r="C42" s="18">
        <v>-2000000</v>
      </c>
      <c r="D42" s="18">
        <v>-1800000</v>
      </c>
      <c r="E42" s="18">
        <v>-1500000</v>
      </c>
      <c r="F42" s="18">
        <v>-2000000</v>
      </c>
      <c r="G42" s="19">
        <v>-1800000</v>
      </c>
    </row>
    <row r="43" spans="1:7" x14ac:dyDescent="0.3">
      <c r="A43" s="8" t="s">
        <v>5</v>
      </c>
      <c r="B43" s="47">
        <f>B3 * 0.8</f>
        <v>320000</v>
      </c>
      <c r="C43" s="47">
        <f>C3 * 0.8</f>
        <v>480000</v>
      </c>
      <c r="D43" s="47">
        <f>D3 * 0.8</f>
        <v>240000</v>
      </c>
      <c r="E43" s="47">
        <f>B3 * 1.2</f>
        <v>480000</v>
      </c>
      <c r="F43" s="47">
        <f>C3 * 1.2</f>
        <v>720000</v>
      </c>
      <c r="G43" s="50">
        <f>D3 * 1.2</f>
        <v>360000</v>
      </c>
    </row>
    <row r="44" spans="1:7" x14ac:dyDescent="0.3">
      <c r="A44" s="8" t="s">
        <v>6</v>
      </c>
      <c r="B44" s="47">
        <f>B4 * 0.8</f>
        <v>360000</v>
      </c>
      <c r="C44" s="47">
        <f>C4 * 0.8</f>
        <v>520000</v>
      </c>
      <c r="D44" s="47">
        <f>D4 * 0.8</f>
        <v>360000</v>
      </c>
      <c r="E44" s="47">
        <f>B4 * 1.2</f>
        <v>540000</v>
      </c>
      <c r="F44" s="47">
        <f>C4 * 1.2</f>
        <v>780000</v>
      </c>
      <c r="G44" s="50">
        <f>D4 * 1.2</f>
        <v>540000</v>
      </c>
    </row>
    <row r="45" spans="1:7" x14ac:dyDescent="0.3">
      <c r="A45" s="8" t="s">
        <v>7</v>
      </c>
      <c r="B45" s="47">
        <f>B5 * 0.8</f>
        <v>400000</v>
      </c>
      <c r="C45" s="47">
        <f>C5 * 0.8</f>
        <v>560000</v>
      </c>
      <c r="D45" s="47">
        <f>D5 * 0.8</f>
        <v>440000</v>
      </c>
      <c r="E45" s="47">
        <f>B5 * 1.2</f>
        <v>600000</v>
      </c>
      <c r="F45" s="47">
        <f>C5 * 1.2</f>
        <v>840000</v>
      </c>
      <c r="G45" s="50">
        <f>D5 * 1.2</f>
        <v>660000</v>
      </c>
    </row>
    <row r="46" spans="1:7" x14ac:dyDescent="0.3">
      <c r="A46" s="8" t="s">
        <v>8</v>
      </c>
      <c r="B46" s="47">
        <f>B6 * 0.8</f>
        <v>440000</v>
      </c>
      <c r="C46" s="47">
        <f>C6 * 0.8</f>
        <v>600000</v>
      </c>
      <c r="D46" s="47">
        <f>D6 * 0.8</f>
        <v>520000</v>
      </c>
      <c r="E46" s="47">
        <f>B6 * 1.2</f>
        <v>660000</v>
      </c>
      <c r="F46" s="47">
        <f>C6 * 1.2</f>
        <v>900000</v>
      </c>
      <c r="G46" s="50">
        <f>D6 * 1.2</f>
        <v>780000</v>
      </c>
    </row>
    <row r="47" spans="1:7" x14ac:dyDescent="0.3">
      <c r="A47" s="8" t="s">
        <v>9</v>
      </c>
      <c r="B47" s="47">
        <f>B7 * 0.8</f>
        <v>480000</v>
      </c>
      <c r="C47" s="47">
        <f>C7 * 0.8</f>
        <v>640000</v>
      </c>
      <c r="D47" s="47">
        <f>D7 * 0.8</f>
        <v>600000</v>
      </c>
      <c r="E47" s="47">
        <f>B7 * 1.2</f>
        <v>720000</v>
      </c>
      <c r="F47" s="47">
        <f>C7 * 1.2</f>
        <v>960000</v>
      </c>
      <c r="G47" s="50">
        <f>D7 * 1.2</f>
        <v>900000</v>
      </c>
    </row>
    <row r="48" spans="1:7" ht="27.6" x14ac:dyDescent="0.3">
      <c r="A48" s="8" t="s">
        <v>10</v>
      </c>
      <c r="B48" s="47">
        <f>B8 * 0.8</f>
        <v>80000</v>
      </c>
      <c r="C48" s="47">
        <f>C8 * 0.8</f>
        <v>120000</v>
      </c>
      <c r="D48" s="47">
        <f>D8 * 0.8</f>
        <v>160000</v>
      </c>
      <c r="E48" s="47">
        <f>B8 * 1.2</f>
        <v>120000</v>
      </c>
      <c r="F48" s="47">
        <f>C8 * 1.2</f>
        <v>180000</v>
      </c>
      <c r="G48" s="50">
        <f>D8 * 1.2</f>
        <v>240000</v>
      </c>
    </row>
    <row r="49" spans="1:9" x14ac:dyDescent="0.3">
      <c r="A49" s="8" t="s">
        <v>11</v>
      </c>
      <c r="B49" s="4">
        <v>0.12</v>
      </c>
      <c r="C49" s="4">
        <v>0.12</v>
      </c>
      <c r="D49" s="4">
        <v>0.12</v>
      </c>
      <c r="E49" s="4">
        <v>0.12</v>
      </c>
      <c r="F49" s="4">
        <v>0.12</v>
      </c>
      <c r="G49" s="67">
        <v>0.12</v>
      </c>
    </row>
    <row r="50" spans="1:9" ht="15" thickBot="1" x14ac:dyDescent="0.35">
      <c r="A50" s="70" t="s">
        <v>14</v>
      </c>
      <c r="B50" s="71">
        <f xml:space="preserve"> NPV(B$49, B$43:B$48) + B$42</f>
        <v>-50060.484304743586</v>
      </c>
      <c r="C50" s="71">
        <f t="shared" ref="C50:G50" si="7" xml:space="preserve"> NPV(C$49, C$43:C$48) + C$42</f>
        <v>46968.952917549759</v>
      </c>
      <c r="D50" s="71">
        <f t="shared" si="7"/>
        <v>-233554.68716797465</v>
      </c>
      <c r="E50" s="68">
        <f t="shared" si="7"/>
        <v>674909.27354288474</v>
      </c>
      <c r="F50" s="68">
        <f t="shared" si="7"/>
        <v>1070453.4293763246</v>
      </c>
      <c r="G50" s="69">
        <f xml:space="preserve"> NPV(G$49, G$43:G$48) + G$42</f>
        <v>549667.96924803779</v>
      </c>
    </row>
    <row r="51" spans="1:9" ht="15" thickBot="1" x14ac:dyDescent="0.35">
      <c r="A51" s="72" t="s">
        <v>29</v>
      </c>
      <c r="B51" s="73">
        <f>MAX(B50, E50, B11)</f>
        <v>674909.27354288474</v>
      </c>
      <c r="C51" s="73">
        <f t="shared" ref="C51" si="8">MAX(C50, F50, C11)</f>
        <v>1070453.4293763246</v>
      </c>
      <c r="D51" s="74">
        <f>MAX(D50, G50, D11)</f>
        <v>549667.96924803779</v>
      </c>
      <c r="F51" s="36" t="s">
        <v>32</v>
      </c>
      <c r="G51" s="36"/>
      <c r="H51" s="36"/>
    </row>
    <row r="52" spans="1:9" ht="15" thickBot="1" x14ac:dyDescent="0.35">
      <c r="A52" s="46" t="s">
        <v>30</v>
      </c>
      <c r="B52" s="31">
        <f>MIN(B50, E50, B11)</f>
        <v>-50060.484304743586</v>
      </c>
      <c r="C52" s="31">
        <f t="shared" ref="C52:D52" si="9">MIN(C50, F50, C11)</f>
        <v>46968.952917549759</v>
      </c>
      <c r="D52" s="32">
        <f t="shared" si="9"/>
        <v>-233554.68716797465</v>
      </c>
      <c r="F52" s="5" t="s">
        <v>42</v>
      </c>
      <c r="G52" s="58">
        <v>0</v>
      </c>
      <c r="H52" s="58">
        <v>0</v>
      </c>
      <c r="I52" s="59">
        <v>0</v>
      </c>
    </row>
    <row r="53" spans="1:9" x14ac:dyDescent="0.3">
      <c r="A53" s="35"/>
      <c r="B53" s="34"/>
      <c r="C53" s="34"/>
      <c r="D53" s="34"/>
      <c r="F53" s="8" t="s">
        <v>41</v>
      </c>
      <c r="G53" s="47">
        <v>0</v>
      </c>
      <c r="H53" s="47">
        <v>0</v>
      </c>
      <c r="I53" s="50">
        <v>0</v>
      </c>
    </row>
    <row r="54" spans="1:9" x14ac:dyDescent="0.3">
      <c r="A54" s="33"/>
      <c r="B54" s="34"/>
      <c r="C54" s="34"/>
      <c r="D54" s="34"/>
      <c r="F54" s="8" t="s">
        <v>40</v>
      </c>
      <c r="G54" s="47">
        <v>0</v>
      </c>
      <c r="H54" s="47">
        <v>0</v>
      </c>
      <c r="I54" s="50">
        <v>0</v>
      </c>
    </row>
    <row r="55" spans="1:9" ht="15" thickBot="1" x14ac:dyDescent="0.35">
      <c r="A55" s="36" t="s">
        <v>31</v>
      </c>
      <c r="B55" s="36"/>
      <c r="C55" s="36"/>
      <c r="D55" s="34"/>
      <c r="F55" s="8" t="s">
        <v>39</v>
      </c>
      <c r="G55" s="57">
        <v>0</v>
      </c>
      <c r="H55" s="57">
        <v>0</v>
      </c>
      <c r="I55" s="50">
        <v>0</v>
      </c>
    </row>
    <row r="56" spans="1:9" x14ac:dyDescent="0.3">
      <c r="A56" s="5" t="s">
        <v>0</v>
      </c>
      <c r="B56" s="6" t="s">
        <v>1</v>
      </c>
      <c r="C56" s="6" t="s">
        <v>2</v>
      </c>
      <c r="D56" s="7" t="s">
        <v>3</v>
      </c>
      <c r="F56" s="8" t="s">
        <v>38</v>
      </c>
      <c r="G56" s="39">
        <v>0</v>
      </c>
      <c r="H56" s="39">
        <v>0</v>
      </c>
      <c r="I56" s="40">
        <v>0</v>
      </c>
    </row>
    <row r="57" spans="1:9" x14ac:dyDescent="0.3">
      <c r="A57" s="8" t="s">
        <v>4</v>
      </c>
      <c r="B57" s="39">
        <v>-1500000</v>
      </c>
      <c r="C57" s="39">
        <v>-2000000</v>
      </c>
      <c r="D57" s="40">
        <v>-1800000</v>
      </c>
      <c r="F57" s="8" t="s">
        <v>33</v>
      </c>
      <c r="G57" s="47">
        <f>B3*0.2/5</f>
        <v>16000</v>
      </c>
      <c r="H57" s="47">
        <f t="shared" ref="H57:I57" si="10">C3*0.2/5</f>
        <v>24000</v>
      </c>
      <c r="I57" s="50">
        <f t="shared" si="10"/>
        <v>12000</v>
      </c>
    </row>
    <row r="58" spans="1:9" x14ac:dyDescent="0.3">
      <c r="A58" s="8" t="s">
        <v>5</v>
      </c>
      <c r="B58" s="39">
        <f>B3 - (G57+G55+G56+G54+G53)</f>
        <v>384000</v>
      </c>
      <c r="C58" s="39">
        <f t="shared" ref="C58:D58" si="11">C3 - (H57+H55+H56+H54+H53)</f>
        <v>576000</v>
      </c>
      <c r="D58" s="40">
        <f t="shared" si="11"/>
        <v>288000</v>
      </c>
      <c r="F58" s="8" t="s">
        <v>34</v>
      </c>
      <c r="G58" s="47">
        <f t="shared" ref="G58:G61" si="12">B4*0.2/5</f>
        <v>18000</v>
      </c>
      <c r="H58" s="47">
        <f t="shared" ref="H58:H61" si="13">C4*0.2/5</f>
        <v>26000</v>
      </c>
      <c r="I58" s="50">
        <f t="shared" ref="I58:I61" si="14">D4*0.2/5</f>
        <v>18000</v>
      </c>
    </row>
    <row r="59" spans="1:9" x14ac:dyDescent="0.3">
      <c r="A59" s="8" t="s">
        <v>6</v>
      </c>
      <c r="B59" s="39">
        <f t="shared" ref="B59:B62" si="15">B4 - (G58+G56+G57+G55+G54)</f>
        <v>416000</v>
      </c>
      <c r="C59" s="39">
        <f t="shared" ref="C59:C62" si="16">C4 - (H58+H56+H57+H55+H54)</f>
        <v>600000</v>
      </c>
      <c r="D59" s="40">
        <f t="shared" ref="D59:D61" si="17">D4 - (I58+I56+I57+I55+I54)</f>
        <v>420000</v>
      </c>
      <c r="F59" s="8" t="s">
        <v>35</v>
      </c>
      <c r="G59" s="47">
        <f t="shared" si="12"/>
        <v>20000</v>
      </c>
      <c r="H59" s="47">
        <f t="shared" si="13"/>
        <v>28000</v>
      </c>
      <c r="I59" s="50">
        <f t="shared" si="14"/>
        <v>22000</v>
      </c>
    </row>
    <row r="60" spans="1:9" x14ac:dyDescent="0.3">
      <c r="A60" s="8" t="s">
        <v>7</v>
      </c>
      <c r="B60" s="39">
        <f t="shared" si="15"/>
        <v>446000</v>
      </c>
      <c r="C60" s="39">
        <f t="shared" si="16"/>
        <v>622000</v>
      </c>
      <c r="D60" s="40">
        <f t="shared" si="17"/>
        <v>498000</v>
      </c>
      <c r="F60" s="8" t="s">
        <v>36</v>
      </c>
      <c r="G60" s="47">
        <f t="shared" si="12"/>
        <v>22000</v>
      </c>
      <c r="H60" s="47">
        <f t="shared" si="13"/>
        <v>30000</v>
      </c>
      <c r="I60" s="50">
        <f t="shared" si="14"/>
        <v>26000</v>
      </c>
    </row>
    <row r="61" spans="1:9" ht="15" thickBot="1" x14ac:dyDescent="0.35">
      <c r="A61" s="8" t="s">
        <v>8</v>
      </c>
      <c r="B61" s="39">
        <f t="shared" si="15"/>
        <v>474000</v>
      </c>
      <c r="C61" s="39">
        <f t="shared" si="16"/>
        <v>642000</v>
      </c>
      <c r="D61" s="40">
        <f t="shared" si="17"/>
        <v>572000</v>
      </c>
      <c r="F61" s="9" t="s">
        <v>37</v>
      </c>
      <c r="G61" s="60">
        <f t="shared" si="12"/>
        <v>24000</v>
      </c>
      <c r="H61" s="60">
        <f t="shared" si="13"/>
        <v>32000</v>
      </c>
      <c r="I61" s="61">
        <f t="shared" si="14"/>
        <v>30000</v>
      </c>
    </row>
    <row r="62" spans="1:9" x14ac:dyDescent="0.3">
      <c r="A62" s="8" t="s">
        <v>9</v>
      </c>
      <c r="B62" s="39">
        <f t="shared" si="15"/>
        <v>500000</v>
      </c>
      <c r="C62" s="39">
        <f t="shared" si="16"/>
        <v>660000</v>
      </c>
      <c r="D62" s="40">
        <f>D7 - (I61+I59+I60+I58+I57)</f>
        <v>642000</v>
      </c>
      <c r="F62" s="38"/>
    </row>
    <row r="63" spans="1:9" x14ac:dyDescent="0.3">
      <c r="A63" s="8" t="s">
        <v>43</v>
      </c>
      <c r="B63" s="39">
        <f>-(G62+G60+G61+G59+G58)</f>
        <v>-84000</v>
      </c>
      <c r="C63" s="39">
        <f t="shared" ref="C63:D63" si="18">-(H62+H60+H61+H59+H58)</f>
        <v>-116000</v>
      </c>
      <c r="D63" s="40">
        <f t="shared" si="18"/>
        <v>-96000</v>
      </c>
      <c r="F63" s="37"/>
    </row>
    <row r="64" spans="1:9" x14ac:dyDescent="0.3">
      <c r="A64" s="8" t="s">
        <v>44</v>
      </c>
      <c r="B64" s="39">
        <f t="shared" ref="B64:B66" si="19">-(G63+G61+G62+G60+G59)</f>
        <v>-66000</v>
      </c>
      <c r="C64" s="39">
        <f t="shared" ref="C64:C66" si="20">-(H63+H61+H62+H60+H59)</f>
        <v>-90000</v>
      </c>
      <c r="D64" s="40">
        <f t="shared" ref="D64:D66" si="21">-(I63+I61+I62+I60+I59)</f>
        <v>-78000</v>
      </c>
      <c r="F64" s="38"/>
    </row>
    <row r="65" spans="1:6" x14ac:dyDescent="0.3">
      <c r="A65" s="8" t="s">
        <v>45</v>
      </c>
      <c r="B65" s="39">
        <f t="shared" si="19"/>
        <v>-46000</v>
      </c>
      <c r="C65" s="39">
        <f t="shared" si="20"/>
        <v>-62000</v>
      </c>
      <c r="D65" s="40">
        <f t="shared" si="21"/>
        <v>-56000</v>
      </c>
      <c r="F65" s="37"/>
    </row>
    <row r="66" spans="1:6" x14ac:dyDescent="0.3">
      <c r="A66" s="8" t="s">
        <v>46</v>
      </c>
      <c r="B66" s="39">
        <f t="shared" si="19"/>
        <v>-24000</v>
      </c>
      <c r="C66" s="39">
        <f t="shared" si="20"/>
        <v>-32000</v>
      </c>
      <c r="D66" s="40">
        <f t="shared" si="21"/>
        <v>-30000</v>
      </c>
      <c r="F66" s="38"/>
    </row>
    <row r="67" spans="1:6" x14ac:dyDescent="0.3">
      <c r="A67" s="8"/>
      <c r="B67" s="39"/>
      <c r="C67" s="39"/>
      <c r="D67" s="40"/>
    </row>
    <row r="68" spans="1:6" x14ac:dyDescent="0.3">
      <c r="A68" s="28" t="s">
        <v>47</v>
      </c>
      <c r="B68" s="27">
        <f>NPV(B9, B58:B66)</f>
        <v>1477247.4519885993</v>
      </c>
      <c r="C68" s="27">
        <f t="shared" ref="C68" si="22">NPV(C9, C58:C66)</f>
        <v>2081772.7656954236</v>
      </c>
      <c r="D68" s="29">
        <f>NPV(D9, D58:D66)</f>
        <v>1556879.6433986758</v>
      </c>
    </row>
    <row r="69" spans="1:6" ht="15" thickBot="1" x14ac:dyDescent="0.35">
      <c r="A69" s="46" t="s">
        <v>48</v>
      </c>
      <c r="B69" s="55">
        <f>IRR(B57:B66)</f>
        <v>0.1135260219779779</v>
      </c>
      <c r="C69" s="55">
        <f>IRR(C57:C66)</f>
        <v>0.13761051116199829</v>
      </c>
      <c r="D69" s="56">
        <f>IRR(D57:D66)</f>
        <v>6.4868422110405222E-2</v>
      </c>
    </row>
    <row r="70" spans="1:6" ht="15" thickBot="1" x14ac:dyDescent="0.35">
      <c r="A70" s="33"/>
      <c r="B70" s="34"/>
      <c r="C70" s="34"/>
      <c r="D70" s="34"/>
    </row>
    <row r="71" spans="1:6" x14ac:dyDescent="0.3">
      <c r="A71" s="41" t="s">
        <v>49</v>
      </c>
      <c r="B71" s="42"/>
      <c r="C71" s="42"/>
      <c r="D71" s="43"/>
    </row>
    <row r="72" spans="1:6" x14ac:dyDescent="0.3">
      <c r="A72" s="8" t="s">
        <v>0</v>
      </c>
      <c r="B72" s="3" t="s">
        <v>1</v>
      </c>
      <c r="C72" s="3" t="s">
        <v>2</v>
      </c>
      <c r="D72" s="44" t="s">
        <v>3</v>
      </c>
    </row>
    <row r="73" spans="1:6" x14ac:dyDescent="0.3">
      <c r="A73" s="45" t="s">
        <v>50</v>
      </c>
      <c r="B73" s="47">
        <f>B11</f>
        <v>312424.39461907023</v>
      </c>
      <c r="C73" s="47">
        <f t="shared" ref="C73:D75" si="23">C11</f>
        <v>558711.19114693673</v>
      </c>
      <c r="D73" s="50">
        <f t="shared" si="23"/>
        <v>158056.64104003157</v>
      </c>
    </row>
    <row r="74" spans="1:6" x14ac:dyDescent="0.3">
      <c r="A74" s="28" t="s">
        <v>51</v>
      </c>
      <c r="B74" s="48">
        <f>B12</f>
        <v>0.193117564122542</v>
      </c>
      <c r="C74" s="48">
        <f t="shared" si="23"/>
        <v>0.21871331300588981</v>
      </c>
      <c r="D74" s="51">
        <f t="shared" si="23"/>
        <v>0.14878528169434935</v>
      </c>
    </row>
    <row r="75" spans="1:6" ht="15" thickBot="1" x14ac:dyDescent="0.35">
      <c r="A75" s="45" t="s">
        <v>12</v>
      </c>
      <c r="B75" s="49">
        <f>B13</f>
        <v>2.2082829297460465</v>
      </c>
      <c r="C75" s="49">
        <f t="shared" si="23"/>
        <v>2.2793555955734681</v>
      </c>
      <c r="D75" s="52">
        <f t="shared" si="23"/>
        <v>2.0878092450222399</v>
      </c>
    </row>
    <row r="76" spans="1:6" ht="15" thickBot="1" x14ac:dyDescent="0.35">
      <c r="A76" s="22" t="s">
        <v>21</v>
      </c>
      <c r="B76" s="27">
        <f>B27</f>
        <v>50663.112117732067</v>
      </c>
      <c r="C76" s="27">
        <f>D27</f>
        <v>75994.668176598105</v>
      </c>
      <c r="D76" s="29">
        <f>G27</f>
        <v>158056.64104003151</v>
      </c>
    </row>
    <row r="77" spans="1:6" x14ac:dyDescent="0.3">
      <c r="A77" s="53" t="s">
        <v>22</v>
      </c>
      <c r="B77" s="27">
        <f>C27</f>
        <v>312424.39461907023</v>
      </c>
      <c r="C77" s="27">
        <f>E27</f>
        <v>758711.19114693743</v>
      </c>
      <c r="D77" s="29">
        <f>G27</f>
        <v>158056.64104003151</v>
      </c>
    </row>
    <row r="78" spans="1:6" x14ac:dyDescent="0.3">
      <c r="A78" s="45" t="s">
        <v>52</v>
      </c>
      <c r="B78" s="27">
        <f>E50</f>
        <v>674909.27354288474</v>
      </c>
      <c r="C78" s="27">
        <f>F50</f>
        <v>1070453.4293763246</v>
      </c>
      <c r="D78" s="29">
        <f>G50</f>
        <v>549667.96924803779</v>
      </c>
    </row>
    <row r="79" spans="1:6" x14ac:dyDescent="0.3">
      <c r="A79" s="28" t="s">
        <v>53</v>
      </c>
      <c r="B79" s="27">
        <f>B50</f>
        <v>-50060.484304743586</v>
      </c>
      <c r="C79" s="27">
        <f>C50</f>
        <v>46968.952917549759</v>
      </c>
      <c r="D79" s="29">
        <f>D50</f>
        <v>-233554.68716797465</v>
      </c>
    </row>
    <row r="80" spans="1:6" x14ac:dyDescent="0.3">
      <c r="A80" s="28" t="s">
        <v>29</v>
      </c>
      <c r="B80" s="27">
        <f>B51</f>
        <v>674909.27354288474</v>
      </c>
      <c r="C80" s="27">
        <f>C51</f>
        <v>1070453.4293763246</v>
      </c>
      <c r="D80" s="29">
        <f>D51</f>
        <v>549667.96924803779</v>
      </c>
    </row>
    <row r="81" spans="1:4" x14ac:dyDescent="0.3">
      <c r="A81" s="54" t="s">
        <v>30</v>
      </c>
      <c r="B81" s="27">
        <f>B52</f>
        <v>-50060.484304743586</v>
      </c>
      <c r="C81" s="27">
        <f>C52</f>
        <v>46968.952917549759</v>
      </c>
      <c r="D81" s="29">
        <f>D52</f>
        <v>-233554.68716797465</v>
      </c>
    </row>
    <row r="82" spans="1:4" x14ac:dyDescent="0.3">
      <c r="A82" s="28" t="s">
        <v>54</v>
      </c>
      <c r="B82" s="27">
        <f>B68</f>
        <v>1477247.4519885993</v>
      </c>
      <c r="C82" s="27">
        <f>C68</f>
        <v>2081772.7656954236</v>
      </c>
      <c r="D82" s="29">
        <f>D68</f>
        <v>1556879.6433986758</v>
      </c>
    </row>
    <row r="83" spans="1:4" ht="15" thickBot="1" x14ac:dyDescent="0.35">
      <c r="A83" s="46" t="s">
        <v>55</v>
      </c>
      <c r="B83" s="31">
        <f>B69</f>
        <v>0.1135260219779779</v>
      </c>
      <c r="C83" s="31">
        <f>C69</f>
        <v>0.13761051116199829</v>
      </c>
      <c r="D83" s="32">
        <f>D69</f>
        <v>6.4868422110405222E-2</v>
      </c>
    </row>
    <row r="84" spans="1:4" x14ac:dyDescent="0.3">
      <c r="A84" s="35"/>
      <c r="B84" s="34"/>
      <c r="C84" s="34"/>
      <c r="D84" s="34"/>
    </row>
    <row r="85" spans="1:4" x14ac:dyDescent="0.3">
      <c r="A85" s="33"/>
      <c r="B85" s="34"/>
      <c r="C85" s="34"/>
      <c r="D85" s="34"/>
    </row>
    <row r="86" spans="1:4" x14ac:dyDescent="0.3">
      <c r="A86" s="35"/>
      <c r="B86" s="34"/>
      <c r="C86" s="34"/>
      <c r="D86" s="34"/>
    </row>
    <row r="87" spans="1:4" x14ac:dyDescent="0.3">
      <c r="A87" s="33"/>
      <c r="B87" s="34"/>
      <c r="C87" s="34"/>
      <c r="D87" s="34"/>
    </row>
    <row r="88" spans="1:4" x14ac:dyDescent="0.3">
      <c r="A88" s="35"/>
      <c r="B88" s="34"/>
      <c r="C88" s="34"/>
      <c r="D88" s="34"/>
    </row>
    <row r="89" spans="1:4" x14ac:dyDescent="0.3">
      <c r="A89" s="33"/>
      <c r="B89" s="34"/>
      <c r="C89" s="34"/>
      <c r="D89" s="34"/>
    </row>
    <row r="90" spans="1:4" x14ac:dyDescent="0.3">
      <c r="A90" s="35"/>
      <c r="B90" s="34"/>
      <c r="C90" s="34"/>
      <c r="D90" s="34"/>
    </row>
    <row r="91" spans="1:4" x14ac:dyDescent="0.3">
      <c r="A91" s="33"/>
      <c r="B91" s="34"/>
      <c r="C91" s="34"/>
      <c r="D91" s="34"/>
    </row>
    <row r="92" spans="1:4" x14ac:dyDescent="0.3">
      <c r="A92" s="35"/>
      <c r="B92" s="34"/>
      <c r="C92" s="34"/>
      <c r="D92" s="34"/>
    </row>
    <row r="93" spans="1:4" x14ac:dyDescent="0.3">
      <c r="A93" s="33"/>
      <c r="B93" s="34"/>
      <c r="C93" s="34"/>
      <c r="D93" s="34"/>
    </row>
    <row r="94" spans="1:4" x14ac:dyDescent="0.3">
      <c r="A94" s="35"/>
      <c r="B94" s="34"/>
      <c r="C94" s="34"/>
      <c r="D94" s="34"/>
    </row>
    <row r="95" spans="1:4" x14ac:dyDescent="0.3">
      <c r="A95" s="33"/>
      <c r="B95" s="34"/>
      <c r="C95" s="34"/>
      <c r="D95" s="34"/>
    </row>
    <row r="96" spans="1:4" x14ac:dyDescent="0.3">
      <c r="A96" s="35"/>
      <c r="B96" s="34"/>
      <c r="C96" s="34"/>
      <c r="D96" s="34"/>
    </row>
    <row r="97" spans="1:4" x14ac:dyDescent="0.3">
      <c r="A97" s="33"/>
      <c r="B97" s="34"/>
      <c r="C97" s="34"/>
      <c r="D97" s="34"/>
    </row>
    <row r="98" spans="1:4" x14ac:dyDescent="0.3">
      <c r="A98" s="35"/>
      <c r="B98" s="34"/>
      <c r="C98" s="34"/>
      <c r="D98" s="34"/>
    </row>
    <row r="99" spans="1:4" x14ac:dyDescent="0.3">
      <c r="A99" s="33"/>
      <c r="B99" s="34"/>
      <c r="C99" s="34"/>
      <c r="D99" s="34"/>
    </row>
    <row r="100" spans="1:4" x14ac:dyDescent="0.3">
      <c r="A100" s="35"/>
      <c r="B100" s="34"/>
      <c r="C100" s="34"/>
      <c r="D100" s="34"/>
    </row>
    <row r="101" spans="1:4" x14ac:dyDescent="0.3">
      <c r="A101" s="33"/>
      <c r="B101" s="34"/>
      <c r="C101" s="34"/>
      <c r="D101" s="34"/>
    </row>
    <row r="102" spans="1:4" x14ac:dyDescent="0.3">
      <c r="A102" s="35"/>
      <c r="B102" s="34"/>
      <c r="C102" s="34"/>
      <c r="D102" s="34"/>
    </row>
    <row r="103" spans="1:4" x14ac:dyDescent="0.3">
      <c r="A103" s="33"/>
      <c r="B103" s="34"/>
      <c r="C103" s="34"/>
      <c r="D103" s="34"/>
    </row>
    <row r="104" spans="1:4" x14ac:dyDescent="0.3">
      <c r="A104" s="35"/>
      <c r="B104" s="34"/>
      <c r="C104" s="34"/>
      <c r="D104" s="34"/>
    </row>
    <row r="105" spans="1:4" x14ac:dyDescent="0.3">
      <c r="A105" s="33"/>
      <c r="B105" s="34"/>
      <c r="C105" s="34"/>
      <c r="D105" s="34"/>
    </row>
    <row r="106" spans="1:4" x14ac:dyDescent="0.3">
      <c r="A106" s="35"/>
      <c r="B106" s="34"/>
      <c r="C106" s="34"/>
      <c r="D106" s="34"/>
    </row>
    <row r="107" spans="1:4" x14ac:dyDescent="0.3">
      <c r="A107" s="33"/>
      <c r="B107" s="34"/>
      <c r="C107" s="34"/>
      <c r="D107" s="34"/>
    </row>
    <row r="108" spans="1:4" x14ac:dyDescent="0.3">
      <c r="A108" s="35"/>
      <c r="B108" s="34"/>
      <c r="C108" s="34"/>
      <c r="D108" s="34"/>
    </row>
    <row r="109" spans="1:4" x14ac:dyDescent="0.3">
      <c r="A109" s="33"/>
      <c r="B109" s="34"/>
      <c r="C109" s="34"/>
      <c r="D109" s="34"/>
    </row>
    <row r="110" spans="1:4" x14ac:dyDescent="0.3">
      <c r="A110" s="35"/>
      <c r="B110" s="34"/>
      <c r="C110" s="34"/>
      <c r="D110" s="34"/>
    </row>
    <row r="111" spans="1:4" x14ac:dyDescent="0.3">
      <c r="A111" s="33"/>
      <c r="B111" s="34"/>
      <c r="C111" s="34"/>
      <c r="D111" s="34"/>
    </row>
    <row r="112" spans="1:4" x14ac:dyDescent="0.3">
      <c r="A112" s="35"/>
      <c r="B112" s="34"/>
      <c r="C112" s="34"/>
      <c r="D112" s="34"/>
    </row>
    <row r="113" spans="1:4" x14ac:dyDescent="0.3">
      <c r="A113" s="33"/>
      <c r="B113" s="34"/>
      <c r="C113" s="34"/>
      <c r="D113" s="34"/>
    </row>
    <row r="114" spans="1:4" x14ac:dyDescent="0.3">
      <c r="A114" s="35"/>
      <c r="B114" s="34"/>
      <c r="C114" s="34"/>
      <c r="D114" s="34"/>
    </row>
    <row r="115" spans="1:4" x14ac:dyDescent="0.3">
      <c r="A115" s="33"/>
      <c r="B115" s="34"/>
      <c r="C115" s="34"/>
      <c r="D115" s="34"/>
    </row>
    <row r="116" spans="1:4" x14ac:dyDescent="0.3">
      <c r="A116" s="35"/>
      <c r="B116" s="34"/>
      <c r="C116" s="34"/>
      <c r="D116" s="34"/>
    </row>
    <row r="117" spans="1:4" x14ac:dyDescent="0.3">
      <c r="A117" s="33"/>
      <c r="B117" s="34"/>
      <c r="C117" s="34"/>
      <c r="D117" s="34"/>
    </row>
    <row r="118" spans="1:4" x14ac:dyDescent="0.3">
      <c r="A118" s="35"/>
      <c r="B118" s="34"/>
      <c r="C118" s="34"/>
      <c r="D118" s="34"/>
    </row>
    <row r="119" spans="1:4" x14ac:dyDescent="0.3">
      <c r="A119" s="33"/>
      <c r="B119" s="34"/>
      <c r="C119" s="34"/>
      <c r="D119" s="34"/>
    </row>
    <row r="120" spans="1:4" x14ac:dyDescent="0.3">
      <c r="A120" s="35"/>
      <c r="B120" s="34"/>
      <c r="C120" s="34"/>
      <c r="D120" s="34"/>
    </row>
    <row r="121" spans="1:4" x14ac:dyDescent="0.3">
      <c r="A121" s="33"/>
      <c r="B121" s="34"/>
      <c r="C121" s="34"/>
      <c r="D121" s="34"/>
    </row>
    <row r="122" spans="1:4" x14ac:dyDescent="0.3">
      <c r="A122" s="35"/>
      <c r="B122" s="34"/>
      <c r="C122" s="34"/>
      <c r="D122" s="34"/>
    </row>
    <row r="123" spans="1:4" x14ac:dyDescent="0.3">
      <c r="A123" s="33"/>
      <c r="B123" s="34"/>
      <c r="C123" s="34"/>
      <c r="D123" s="34"/>
    </row>
    <row r="124" spans="1:4" x14ac:dyDescent="0.3">
      <c r="A124" s="35"/>
      <c r="B124" s="34"/>
      <c r="C124" s="34"/>
      <c r="D124" s="34"/>
    </row>
    <row r="125" spans="1:4" x14ac:dyDescent="0.3">
      <c r="A125" s="33"/>
      <c r="B125" s="34"/>
      <c r="C125" s="34"/>
      <c r="D125" s="34"/>
    </row>
    <row r="126" spans="1:4" x14ac:dyDescent="0.3">
      <c r="A126" s="35"/>
      <c r="B126" s="34"/>
      <c r="C126" s="34"/>
      <c r="D126" s="34"/>
    </row>
    <row r="127" spans="1:4" x14ac:dyDescent="0.3">
      <c r="A127" s="33"/>
      <c r="B127" s="34"/>
      <c r="C127" s="34"/>
      <c r="D127" s="34"/>
    </row>
    <row r="128" spans="1:4" x14ac:dyDescent="0.3">
      <c r="A128" s="35"/>
      <c r="B128" s="34"/>
      <c r="C128" s="34"/>
      <c r="D128" s="34"/>
    </row>
    <row r="129" spans="1:4" x14ac:dyDescent="0.3">
      <c r="A129" s="33"/>
      <c r="B129" s="34"/>
      <c r="C129" s="34"/>
      <c r="D129" s="34"/>
    </row>
    <row r="130" spans="1:4" x14ac:dyDescent="0.3">
      <c r="A130" s="35"/>
      <c r="B130" s="34"/>
      <c r="C130" s="34"/>
      <c r="D130" s="34"/>
    </row>
    <row r="131" spans="1:4" x14ac:dyDescent="0.3">
      <c r="A131" s="33"/>
      <c r="B131" s="34"/>
      <c r="C131" s="34"/>
      <c r="D131" s="34"/>
    </row>
    <row r="132" spans="1:4" x14ac:dyDescent="0.3">
      <c r="A132" s="35"/>
      <c r="B132" s="34"/>
      <c r="C132" s="34"/>
      <c r="D132" s="34"/>
    </row>
    <row r="133" spans="1:4" x14ac:dyDescent="0.3">
      <c r="A133" s="33"/>
      <c r="B133" s="34"/>
      <c r="C133" s="34"/>
      <c r="D133" s="34"/>
    </row>
    <row r="134" spans="1:4" x14ac:dyDescent="0.3">
      <c r="A134" s="35"/>
      <c r="B134" s="34"/>
      <c r="C134" s="34"/>
      <c r="D134" s="34"/>
    </row>
    <row r="135" spans="1:4" x14ac:dyDescent="0.3">
      <c r="A135" s="33"/>
      <c r="B135" s="34"/>
      <c r="C135" s="34"/>
      <c r="D135" s="34"/>
    </row>
    <row r="136" spans="1:4" x14ac:dyDescent="0.3">
      <c r="A136" s="35"/>
      <c r="B136" s="34"/>
      <c r="C136" s="34"/>
      <c r="D136" s="34"/>
    </row>
    <row r="137" spans="1:4" x14ac:dyDescent="0.3">
      <c r="A137" s="33"/>
      <c r="B137" s="34"/>
      <c r="C137" s="34"/>
      <c r="D137" s="34"/>
    </row>
    <row r="138" spans="1:4" x14ac:dyDescent="0.3">
      <c r="A138" s="35"/>
      <c r="B138" s="34"/>
      <c r="C138" s="34"/>
      <c r="D138" s="34"/>
    </row>
    <row r="139" spans="1:4" x14ac:dyDescent="0.3">
      <c r="A139" s="33"/>
      <c r="B139" s="34"/>
      <c r="C139" s="34"/>
      <c r="D139" s="34"/>
    </row>
    <row r="140" spans="1:4" x14ac:dyDescent="0.3">
      <c r="A140" s="35"/>
      <c r="B140" s="34"/>
      <c r="C140" s="34"/>
      <c r="D140" s="34"/>
    </row>
    <row r="141" spans="1:4" x14ac:dyDescent="0.3">
      <c r="A141" s="33"/>
      <c r="B141" s="34"/>
      <c r="C141" s="34"/>
      <c r="D141" s="34"/>
    </row>
    <row r="142" spans="1:4" x14ac:dyDescent="0.3">
      <c r="A142" s="35"/>
      <c r="B142" s="34"/>
      <c r="C142" s="34"/>
      <c r="D142" s="34"/>
    </row>
    <row r="143" spans="1:4" x14ac:dyDescent="0.3">
      <c r="A143" s="33"/>
      <c r="B143" s="34"/>
      <c r="C143" s="34"/>
      <c r="D143" s="34"/>
    </row>
    <row r="144" spans="1:4" x14ac:dyDescent="0.3">
      <c r="A144" s="35"/>
      <c r="B144" s="34"/>
      <c r="C144" s="34"/>
      <c r="D144" s="34"/>
    </row>
    <row r="145" spans="1:4" x14ac:dyDescent="0.3">
      <c r="A145" s="33"/>
      <c r="B145" s="34"/>
      <c r="C145" s="34"/>
      <c r="D145" s="34"/>
    </row>
    <row r="146" spans="1:4" x14ac:dyDescent="0.3">
      <c r="A146" s="35"/>
      <c r="B146" s="34"/>
      <c r="C146" s="34"/>
      <c r="D146" s="34"/>
    </row>
    <row r="147" spans="1:4" x14ac:dyDescent="0.3">
      <c r="A147" s="33"/>
      <c r="B147" s="34"/>
      <c r="C147" s="34"/>
      <c r="D147" s="34"/>
    </row>
    <row r="148" spans="1:4" x14ac:dyDescent="0.3">
      <c r="A148" s="35"/>
      <c r="B148" s="34"/>
      <c r="C148" s="34"/>
      <c r="D148" s="34"/>
    </row>
    <row r="149" spans="1:4" x14ac:dyDescent="0.3">
      <c r="A149" s="33"/>
      <c r="B149" s="34"/>
      <c r="C149" s="34"/>
      <c r="D149" s="34"/>
    </row>
    <row r="150" spans="1:4" x14ac:dyDescent="0.3">
      <c r="A150" s="35"/>
      <c r="B150" s="34"/>
      <c r="C150" s="34"/>
      <c r="D150" s="34"/>
    </row>
    <row r="151" spans="1:4" x14ac:dyDescent="0.3">
      <c r="A151" s="33"/>
      <c r="B151" s="34"/>
      <c r="C151" s="34"/>
      <c r="D151" s="34"/>
    </row>
    <row r="152" spans="1:4" x14ac:dyDescent="0.3">
      <c r="A152" s="35"/>
      <c r="B152" s="34"/>
      <c r="C152" s="34"/>
      <c r="D152" s="34"/>
    </row>
    <row r="153" spans="1:4" x14ac:dyDescent="0.3">
      <c r="A153" s="33"/>
      <c r="B153" s="34"/>
      <c r="C153" s="34"/>
      <c r="D153" s="34"/>
    </row>
    <row r="154" spans="1:4" x14ac:dyDescent="0.3">
      <c r="A154" s="35"/>
      <c r="B154" s="34"/>
      <c r="C154" s="34"/>
      <c r="D154" s="34"/>
    </row>
    <row r="155" spans="1:4" x14ac:dyDescent="0.3">
      <c r="A155" s="33"/>
      <c r="B155" s="34"/>
      <c r="C155" s="34"/>
      <c r="D155" s="34"/>
    </row>
    <row r="156" spans="1:4" x14ac:dyDescent="0.3">
      <c r="A156" s="35"/>
      <c r="B156" s="34"/>
      <c r="C156" s="34"/>
      <c r="D156" s="34"/>
    </row>
    <row r="157" spans="1:4" x14ac:dyDescent="0.3">
      <c r="A157" s="33"/>
      <c r="B157" s="34"/>
      <c r="C157" s="34"/>
      <c r="D157" s="34"/>
    </row>
    <row r="158" spans="1:4" x14ac:dyDescent="0.3">
      <c r="A158" s="35"/>
      <c r="B158" s="34"/>
      <c r="C158" s="34"/>
      <c r="D158" s="34"/>
    </row>
    <row r="159" spans="1:4" x14ac:dyDescent="0.3">
      <c r="A159" s="33"/>
      <c r="B159" s="34"/>
      <c r="C159" s="34"/>
      <c r="D159" s="34"/>
    </row>
    <row r="160" spans="1:4" x14ac:dyDescent="0.3">
      <c r="A160" s="35"/>
      <c r="B160" s="34"/>
      <c r="C160" s="34"/>
      <c r="D160" s="34"/>
    </row>
    <row r="161" spans="1:4" x14ac:dyDescent="0.3">
      <c r="A161" s="33"/>
      <c r="B161" s="34"/>
      <c r="C161" s="34"/>
      <c r="D161" s="34"/>
    </row>
    <row r="162" spans="1:4" x14ac:dyDescent="0.3">
      <c r="A162" s="35"/>
      <c r="B162" s="34"/>
      <c r="C162" s="34"/>
      <c r="D162" s="34"/>
    </row>
    <row r="163" spans="1:4" x14ac:dyDescent="0.3">
      <c r="A163" s="33"/>
      <c r="B163" s="34"/>
      <c r="C163" s="34"/>
      <c r="D163" s="34"/>
    </row>
    <row r="164" spans="1:4" x14ac:dyDescent="0.3">
      <c r="A164" s="35"/>
      <c r="B164" s="34"/>
      <c r="C164" s="34"/>
      <c r="D164" s="34"/>
    </row>
    <row r="165" spans="1:4" x14ac:dyDescent="0.3">
      <c r="A165" s="33"/>
      <c r="B165" s="34"/>
      <c r="C165" s="34"/>
      <c r="D165" s="34"/>
    </row>
    <row r="166" spans="1:4" x14ac:dyDescent="0.3">
      <c r="A166" s="35"/>
      <c r="B166" s="34"/>
      <c r="C166" s="34"/>
      <c r="D166" s="34"/>
    </row>
    <row r="167" spans="1:4" x14ac:dyDescent="0.3">
      <c r="A167" s="33"/>
      <c r="B167" s="34"/>
      <c r="C167" s="34"/>
      <c r="D167" s="34"/>
    </row>
    <row r="168" spans="1:4" x14ac:dyDescent="0.3">
      <c r="A168" s="35"/>
      <c r="B168" s="34"/>
      <c r="C168" s="34"/>
      <c r="D168" s="34"/>
    </row>
    <row r="169" spans="1:4" x14ac:dyDescent="0.3">
      <c r="A169" s="33"/>
      <c r="B169" s="34"/>
      <c r="C169" s="34"/>
      <c r="D169" s="34"/>
    </row>
    <row r="170" spans="1:4" x14ac:dyDescent="0.3">
      <c r="A170" s="35"/>
      <c r="B170" s="34"/>
      <c r="C170" s="34"/>
      <c r="D170" s="34"/>
    </row>
    <row r="171" spans="1:4" x14ac:dyDescent="0.3">
      <c r="A171" s="33"/>
      <c r="B171" s="34"/>
      <c r="C171" s="34"/>
      <c r="D171" s="34"/>
    </row>
    <row r="172" spans="1:4" x14ac:dyDescent="0.3">
      <c r="A172" s="35"/>
      <c r="B172" s="34"/>
      <c r="C172" s="34"/>
      <c r="D172" s="34"/>
    </row>
    <row r="173" spans="1:4" x14ac:dyDescent="0.3">
      <c r="A173" s="33"/>
      <c r="B173" s="34"/>
      <c r="C173" s="34"/>
      <c r="D173" s="34"/>
    </row>
    <row r="174" spans="1:4" x14ac:dyDescent="0.3">
      <c r="A174" s="35"/>
      <c r="B174" s="34"/>
      <c r="C174" s="34"/>
      <c r="D174" s="34"/>
    </row>
    <row r="175" spans="1:4" x14ac:dyDescent="0.3">
      <c r="A175" s="33"/>
      <c r="B175" s="34"/>
      <c r="C175" s="34"/>
      <c r="D175" s="34"/>
    </row>
    <row r="176" spans="1:4" x14ac:dyDescent="0.3">
      <c r="A176" s="35"/>
      <c r="B176" s="34"/>
      <c r="C176" s="34"/>
      <c r="D176" s="34"/>
    </row>
    <row r="177" spans="1:4" x14ac:dyDescent="0.3">
      <c r="A177" s="33"/>
      <c r="B177" s="34"/>
      <c r="C177" s="34"/>
      <c r="D177" s="34"/>
    </row>
    <row r="178" spans="1:4" x14ac:dyDescent="0.3">
      <c r="A178" s="35"/>
      <c r="B178" s="34"/>
      <c r="C178" s="34"/>
      <c r="D178" s="34"/>
    </row>
    <row r="179" spans="1:4" x14ac:dyDescent="0.3">
      <c r="A179" s="33"/>
      <c r="B179" s="34"/>
      <c r="C179" s="34"/>
      <c r="D179" s="34"/>
    </row>
    <row r="180" spans="1:4" x14ac:dyDescent="0.3">
      <c r="A180" s="35"/>
      <c r="B180" s="34"/>
      <c r="C180" s="34"/>
      <c r="D180" s="34"/>
    </row>
    <row r="181" spans="1:4" x14ac:dyDescent="0.3">
      <c r="A181" s="33"/>
      <c r="B181" s="34"/>
      <c r="C181" s="34"/>
      <c r="D181" s="34"/>
    </row>
    <row r="182" spans="1:4" x14ac:dyDescent="0.3">
      <c r="A182" s="35"/>
      <c r="B182" s="34"/>
      <c r="C182" s="34"/>
      <c r="D182" s="34"/>
    </row>
    <row r="183" spans="1:4" x14ac:dyDescent="0.3">
      <c r="A183" s="33"/>
      <c r="B183" s="34"/>
      <c r="C183" s="34"/>
      <c r="D183" s="34"/>
    </row>
    <row r="184" spans="1:4" x14ac:dyDescent="0.3">
      <c r="A184" s="35"/>
      <c r="B184" s="34"/>
      <c r="C184" s="34"/>
      <c r="D184" s="34"/>
    </row>
    <row r="185" spans="1:4" x14ac:dyDescent="0.3">
      <c r="A185" s="33"/>
      <c r="B185" s="34"/>
      <c r="C185" s="34"/>
      <c r="D185" s="34"/>
    </row>
    <row r="186" spans="1:4" x14ac:dyDescent="0.3">
      <c r="A186" s="35"/>
      <c r="B186" s="34"/>
      <c r="C186" s="34"/>
      <c r="D186" s="34"/>
    </row>
    <row r="187" spans="1:4" x14ac:dyDescent="0.3">
      <c r="A187" s="33"/>
      <c r="B187" s="34"/>
      <c r="C187" s="34"/>
      <c r="D187" s="34"/>
    </row>
    <row r="188" spans="1:4" x14ac:dyDescent="0.3">
      <c r="A188" s="35"/>
      <c r="B188" s="34"/>
      <c r="C188" s="34"/>
      <c r="D188" s="34"/>
    </row>
    <row r="189" spans="1:4" x14ac:dyDescent="0.3">
      <c r="A189" s="33"/>
      <c r="B189" s="34"/>
      <c r="C189" s="34"/>
      <c r="D189" s="34"/>
    </row>
    <row r="190" spans="1:4" x14ac:dyDescent="0.3">
      <c r="A190" s="35"/>
      <c r="B190" s="34"/>
      <c r="C190" s="34"/>
      <c r="D190" s="34"/>
    </row>
    <row r="191" spans="1:4" x14ac:dyDescent="0.3">
      <c r="A191" s="33"/>
      <c r="B191" s="34"/>
      <c r="C191" s="34"/>
      <c r="D191" s="34"/>
    </row>
    <row r="192" spans="1:4" x14ac:dyDescent="0.3">
      <c r="A192" s="35"/>
      <c r="B192" s="34"/>
      <c r="C192" s="34"/>
      <c r="D192" s="34"/>
    </row>
    <row r="193" spans="1:4" x14ac:dyDescent="0.3">
      <c r="A193" s="33"/>
      <c r="B193" s="34"/>
      <c r="C193" s="34"/>
      <c r="D193" s="34"/>
    </row>
    <row r="194" spans="1:4" x14ac:dyDescent="0.3">
      <c r="A194" s="35"/>
      <c r="B194" s="34"/>
      <c r="C194" s="34"/>
      <c r="D194" s="34"/>
    </row>
    <row r="195" spans="1:4" x14ac:dyDescent="0.3">
      <c r="A195" s="33"/>
      <c r="B195" s="34"/>
      <c r="C195" s="34"/>
      <c r="D195" s="34"/>
    </row>
    <row r="196" spans="1:4" x14ac:dyDescent="0.3">
      <c r="A196" s="35"/>
      <c r="B196" s="34"/>
      <c r="C196" s="34"/>
      <c r="D196" s="34"/>
    </row>
    <row r="197" spans="1:4" x14ac:dyDescent="0.3">
      <c r="A197" s="33"/>
      <c r="B197" s="34"/>
      <c r="C197" s="34"/>
      <c r="D197" s="34"/>
    </row>
    <row r="198" spans="1:4" x14ac:dyDescent="0.3">
      <c r="A198" s="35"/>
      <c r="B198" s="34"/>
      <c r="C198" s="34"/>
      <c r="D198" s="34"/>
    </row>
    <row r="199" spans="1:4" x14ac:dyDescent="0.3">
      <c r="A199" s="33"/>
      <c r="B199" s="34"/>
      <c r="C199" s="34"/>
      <c r="D199" s="34"/>
    </row>
    <row r="200" spans="1:4" x14ac:dyDescent="0.3">
      <c r="A200" s="35"/>
      <c r="B200" s="34"/>
      <c r="C200" s="34"/>
      <c r="D200" s="34"/>
    </row>
    <row r="201" spans="1:4" x14ac:dyDescent="0.3">
      <c r="A201" s="33"/>
      <c r="B201" s="34"/>
      <c r="C201" s="34"/>
      <c r="D201" s="34"/>
    </row>
    <row r="202" spans="1:4" x14ac:dyDescent="0.3">
      <c r="A202" s="35"/>
      <c r="B202" s="34"/>
      <c r="C202" s="34"/>
      <c r="D202" s="34"/>
    </row>
    <row r="203" spans="1:4" x14ac:dyDescent="0.3">
      <c r="A203" s="33"/>
      <c r="B203" s="34"/>
      <c r="C203" s="34"/>
      <c r="D203" s="34"/>
    </row>
    <row r="204" spans="1:4" x14ac:dyDescent="0.3">
      <c r="A204" s="35"/>
      <c r="B204" s="34"/>
      <c r="C204" s="34"/>
      <c r="D204" s="34"/>
    </row>
    <row r="205" spans="1:4" x14ac:dyDescent="0.3">
      <c r="A205" s="33"/>
      <c r="B205" s="34"/>
      <c r="C205" s="34"/>
      <c r="D205" s="34"/>
    </row>
    <row r="206" spans="1:4" x14ac:dyDescent="0.3">
      <c r="A206" s="35"/>
      <c r="B206" s="34"/>
      <c r="C206" s="34"/>
      <c r="D206" s="34"/>
    </row>
    <row r="207" spans="1:4" x14ac:dyDescent="0.3">
      <c r="A207" s="33"/>
      <c r="B207" s="34"/>
      <c r="C207" s="34"/>
      <c r="D207" s="34"/>
    </row>
    <row r="208" spans="1:4" x14ac:dyDescent="0.3">
      <c r="A208" s="35"/>
      <c r="B208" s="34"/>
      <c r="C208" s="34"/>
      <c r="D208" s="34"/>
    </row>
    <row r="209" spans="1:4" x14ac:dyDescent="0.3">
      <c r="A209" s="33"/>
      <c r="B209" s="34"/>
      <c r="C209" s="34"/>
      <c r="D209" s="34"/>
    </row>
    <row r="210" spans="1:4" x14ac:dyDescent="0.3">
      <c r="A210" s="35"/>
      <c r="B210" s="34"/>
      <c r="C210" s="34"/>
      <c r="D210" s="34"/>
    </row>
    <row r="211" spans="1:4" x14ac:dyDescent="0.3">
      <c r="A211" s="33"/>
      <c r="B211" s="34"/>
      <c r="C211" s="34"/>
      <c r="D211" s="34"/>
    </row>
    <row r="212" spans="1:4" x14ac:dyDescent="0.3">
      <c r="A212" s="35"/>
      <c r="B212" s="34"/>
      <c r="C212" s="34"/>
      <c r="D212" s="34"/>
    </row>
    <row r="213" spans="1:4" x14ac:dyDescent="0.3">
      <c r="A213" s="33"/>
      <c r="B213" s="34"/>
      <c r="C213" s="34"/>
      <c r="D213" s="34"/>
    </row>
    <row r="214" spans="1:4" x14ac:dyDescent="0.3">
      <c r="A214" s="35"/>
      <c r="B214" s="34"/>
      <c r="C214" s="34"/>
      <c r="D214" s="34"/>
    </row>
    <row r="215" spans="1:4" x14ac:dyDescent="0.3">
      <c r="A215" s="35"/>
      <c r="B215" s="34"/>
      <c r="C215" s="34"/>
      <c r="D215" s="34"/>
    </row>
    <row r="216" spans="1:4" x14ac:dyDescent="0.3">
      <c r="A216" s="33"/>
      <c r="B216" s="34"/>
      <c r="C216" s="34"/>
      <c r="D216" s="34"/>
    </row>
    <row r="217" spans="1:4" x14ac:dyDescent="0.3">
      <c r="A217" s="35"/>
      <c r="B217" s="34"/>
      <c r="C217" s="34"/>
      <c r="D217" s="34"/>
    </row>
    <row r="218" spans="1:4" x14ac:dyDescent="0.3">
      <c r="A218" s="33"/>
      <c r="B218" s="34"/>
      <c r="C218" s="34"/>
      <c r="D218" s="34"/>
    </row>
    <row r="219" spans="1:4" x14ac:dyDescent="0.3">
      <c r="A219" s="35"/>
      <c r="B219" s="34"/>
      <c r="C219" s="34"/>
      <c r="D219" s="34"/>
    </row>
    <row r="220" spans="1:4" x14ac:dyDescent="0.3">
      <c r="A220" s="35"/>
      <c r="B220" s="34"/>
      <c r="C220" s="34"/>
      <c r="D220" s="34"/>
    </row>
    <row r="221" spans="1:4" x14ac:dyDescent="0.3">
      <c r="A221" s="33"/>
      <c r="B221" s="34"/>
      <c r="C221" s="34"/>
      <c r="D221" s="34"/>
    </row>
    <row r="222" spans="1:4" x14ac:dyDescent="0.3">
      <c r="A222" s="35"/>
      <c r="B222" s="34"/>
      <c r="C222" s="34"/>
      <c r="D222" s="34"/>
    </row>
    <row r="223" spans="1:4" x14ac:dyDescent="0.3">
      <c r="A223" s="33"/>
      <c r="B223" s="34"/>
      <c r="C223" s="34"/>
      <c r="D223" s="34"/>
    </row>
    <row r="224" spans="1:4" x14ac:dyDescent="0.3">
      <c r="A224" s="35"/>
      <c r="B224" s="34"/>
      <c r="C224" s="34"/>
      <c r="D224" s="34"/>
    </row>
    <row r="225" spans="1:4" x14ac:dyDescent="0.3">
      <c r="A225" s="35"/>
      <c r="B225" s="34"/>
      <c r="C225" s="34"/>
      <c r="D225" s="34"/>
    </row>
    <row r="226" spans="1:4" x14ac:dyDescent="0.3">
      <c r="A226" s="33"/>
      <c r="B226" s="34"/>
      <c r="C226" s="34"/>
      <c r="D226" s="34"/>
    </row>
    <row r="227" spans="1:4" x14ac:dyDescent="0.3">
      <c r="A227" s="35"/>
      <c r="B227" s="34"/>
      <c r="C227" s="34"/>
      <c r="D227" s="34"/>
    </row>
    <row r="228" spans="1:4" x14ac:dyDescent="0.3">
      <c r="A228" s="33"/>
      <c r="B228" s="34"/>
      <c r="C228" s="34"/>
      <c r="D228" s="34"/>
    </row>
    <row r="229" spans="1:4" x14ac:dyDescent="0.3">
      <c r="A229" s="35"/>
      <c r="B229" s="34"/>
      <c r="C229" s="34"/>
      <c r="D229" s="34"/>
    </row>
    <row r="230" spans="1:4" x14ac:dyDescent="0.3">
      <c r="A230" s="33"/>
      <c r="B230" s="34"/>
      <c r="C230" s="34"/>
      <c r="D230" s="34"/>
    </row>
  </sheetData>
  <mergeCells count="8">
    <mergeCell ref="A55:C55"/>
    <mergeCell ref="F51:H51"/>
    <mergeCell ref="A71:D71"/>
    <mergeCell ref="A19:C19"/>
    <mergeCell ref="A29:C29"/>
    <mergeCell ref="A39:C39"/>
    <mergeCell ref="B40:D40"/>
    <mergeCell ref="E40:G40"/>
  </mergeCells>
  <phoneticPr fontId="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Дмитрий Новиков</dc:creator>
  <cp:lastModifiedBy>Дмитрий Новиков</cp:lastModifiedBy>
  <dcterms:created xsi:type="dcterms:W3CDTF">2026-02-17T12:54:54Z</dcterms:created>
  <dcterms:modified xsi:type="dcterms:W3CDTF">2026-02-17T18:22:21Z</dcterms:modified>
</cp:coreProperties>
</file>