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Desktop\"/>
    </mc:Choice>
  </mc:AlternateContent>
  <xr:revisionPtr revIDLastSave="0" documentId="13_ncr:1_{5F4E044B-6DEB-4084-96DE-30FB34CA07FB}" xr6:coauthVersionLast="47" xr6:coauthVersionMax="47" xr10:uidLastSave="{00000000-0000-0000-0000-000000000000}"/>
  <bookViews>
    <workbookView xWindow="-96" yWindow="0" windowWidth="11712" windowHeight="13776" firstSheet="1" activeTab="3" xr2:uid="{02249FCD-1076-4730-935F-68C3D6919E45}"/>
  </bookViews>
  <sheets>
    <sheet name="Задание 1" sheetId="2" r:id="rId1"/>
    <sheet name="Задание 2" sheetId="3" r:id="rId2"/>
    <sheet name="Задание 3" sheetId="4" r:id="rId3"/>
    <sheet name="Задание 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1" l="1"/>
  <c r="D52" i="1"/>
  <c r="C70" i="1"/>
  <c r="C69" i="1"/>
  <c r="H59" i="1"/>
  <c r="C51" i="1"/>
  <c r="C23" i="1"/>
  <c r="C22" i="1"/>
  <c r="C24" i="1"/>
  <c r="C25" i="1"/>
  <c r="C14" i="1"/>
  <c r="C13" i="1"/>
  <c r="C12" i="1"/>
  <c r="D5" i="2"/>
  <c r="D4" i="2"/>
  <c r="D3" i="2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C31" i="3"/>
  <c r="D31" i="3"/>
  <c r="E31" i="3"/>
  <c r="D32" i="3"/>
  <c r="E32" i="3"/>
  <c r="D33" i="3"/>
  <c r="E33" i="3"/>
  <c r="C34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C55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11" i="3"/>
  <c r="E11" i="3"/>
  <c r="C10" i="3"/>
  <c r="D10" i="3"/>
  <c r="E10" i="3"/>
  <c r="D9" i="3"/>
  <c r="F9" i="3" s="1"/>
  <c r="F10" i="3" s="1"/>
  <c r="E9" i="3"/>
  <c r="C6" i="3"/>
  <c r="C62" i="3" s="1"/>
  <c r="E10" i="4"/>
  <c r="E9" i="4"/>
  <c r="E8" i="4"/>
  <c r="C10" i="4"/>
  <c r="C6" i="4"/>
  <c r="D6" i="4" s="1"/>
  <c r="E7" i="4"/>
  <c r="E6" i="4"/>
  <c r="D6" i="2"/>
  <c r="F4" i="2"/>
  <c r="F5" i="2"/>
  <c r="G24" i="1"/>
  <c r="G25" i="1"/>
  <c r="G26" i="1"/>
  <c r="G27" i="1"/>
  <c r="G28" i="1"/>
  <c r="G23" i="1"/>
  <c r="G22" i="1"/>
  <c r="H22" i="1" s="1"/>
  <c r="E24" i="1"/>
  <c r="E25" i="1"/>
  <c r="E26" i="1"/>
  <c r="E27" i="1"/>
  <c r="E28" i="1"/>
  <c r="D77" i="1" s="1"/>
  <c r="E23" i="1"/>
  <c r="E22" i="1"/>
  <c r="F22" i="1" s="1"/>
  <c r="F23" i="1" s="1"/>
  <c r="F24" i="1" s="1"/>
  <c r="F25" i="1" s="1"/>
  <c r="F26" i="1" s="1"/>
  <c r="F27" i="1" s="1"/>
  <c r="F28" i="1" s="1"/>
  <c r="D78" i="1" s="1"/>
  <c r="D22" i="1"/>
  <c r="C28" i="1"/>
  <c r="C77" i="1" s="1"/>
  <c r="D13" i="1"/>
  <c r="D75" i="1" s="1"/>
  <c r="E13" i="1"/>
  <c r="E75" i="1" s="1"/>
  <c r="C75" i="1"/>
  <c r="H58" i="1"/>
  <c r="C59" i="1" s="1"/>
  <c r="I59" i="1"/>
  <c r="J59" i="1"/>
  <c r="H60" i="1"/>
  <c r="I60" i="1"/>
  <c r="J60" i="1"/>
  <c r="H61" i="1"/>
  <c r="I61" i="1"/>
  <c r="J61" i="1"/>
  <c r="H62" i="1"/>
  <c r="I62" i="1"/>
  <c r="D67" i="1" s="1"/>
  <c r="J62" i="1"/>
  <c r="I58" i="1"/>
  <c r="D59" i="1" s="1"/>
  <c r="J58" i="1"/>
  <c r="E59" i="1" s="1"/>
  <c r="C7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G44" i="1"/>
  <c r="H44" i="1"/>
  <c r="F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D44" i="1"/>
  <c r="E44" i="1"/>
  <c r="C44" i="1"/>
  <c r="C32" i="1"/>
  <c r="D33" i="1"/>
  <c r="E37" i="1"/>
  <c r="C37" i="1"/>
  <c r="D32" i="1"/>
  <c r="E32" i="1"/>
  <c r="E33" i="1"/>
  <c r="D34" i="1"/>
  <c r="E34" i="1"/>
  <c r="D35" i="1"/>
  <c r="E35" i="1"/>
  <c r="D36" i="1"/>
  <c r="E36" i="1"/>
  <c r="D37" i="1"/>
  <c r="C33" i="1"/>
  <c r="C34" i="1"/>
  <c r="C35" i="1"/>
  <c r="C36" i="1"/>
  <c r="C27" i="1"/>
  <c r="C26" i="1"/>
  <c r="C76" i="1"/>
  <c r="D14" i="1"/>
  <c r="D76" i="1" s="1"/>
  <c r="E14" i="1"/>
  <c r="E76" i="1" s="1"/>
  <c r="D12" i="1"/>
  <c r="D74" i="1" s="1"/>
  <c r="E12" i="1"/>
  <c r="E74" i="1" s="1"/>
  <c r="D23" i="1" l="1"/>
  <c r="D24" i="1" s="1"/>
  <c r="D25" i="1" s="1"/>
  <c r="D26" i="1" s="1"/>
  <c r="D27" i="1" s="1"/>
  <c r="D28" i="1" s="1"/>
  <c r="C78" i="1" s="1"/>
  <c r="H23" i="1"/>
  <c r="H24" i="1" s="1"/>
  <c r="H25" i="1" s="1"/>
  <c r="H26" i="1" s="1"/>
  <c r="H27" i="1" s="1"/>
  <c r="H28" i="1" s="1"/>
  <c r="E78" i="1"/>
  <c r="E77" i="1"/>
  <c r="C9" i="4"/>
  <c r="C7" i="4"/>
  <c r="D7" i="4" s="1"/>
  <c r="C8" i="4"/>
  <c r="C58" i="3"/>
  <c r="C26" i="3"/>
  <c r="C47" i="3"/>
  <c r="C50" i="3"/>
  <c r="C39" i="3"/>
  <c r="C18" i="3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C67" i="3"/>
  <c r="C42" i="3"/>
  <c r="C28" i="3"/>
  <c r="C12" i="3"/>
  <c r="C49" i="3"/>
  <c r="C33" i="3"/>
  <c r="C25" i="3"/>
  <c r="C17" i="3"/>
  <c r="C66" i="3"/>
  <c r="C46" i="3"/>
  <c r="C38" i="3"/>
  <c r="C30" i="3"/>
  <c r="C22" i="3"/>
  <c r="C14" i="3"/>
  <c r="C9" i="3"/>
  <c r="C51" i="3"/>
  <c r="C43" i="3"/>
  <c r="C27" i="3"/>
  <c r="C19" i="3"/>
  <c r="C68" i="3"/>
  <c r="C56" i="3"/>
  <c r="C48" i="3"/>
  <c r="C40" i="3"/>
  <c r="C32" i="3"/>
  <c r="C24" i="3"/>
  <c r="C16" i="3"/>
  <c r="C65" i="3"/>
  <c r="C23" i="3"/>
  <c r="C15" i="3"/>
  <c r="C64" i="3"/>
  <c r="C60" i="3"/>
  <c r="C52" i="3"/>
  <c r="C44" i="3"/>
  <c r="C36" i="3"/>
  <c r="C20" i="3"/>
  <c r="C57" i="3"/>
  <c r="C41" i="3"/>
  <c r="C11" i="3"/>
  <c r="C54" i="3"/>
  <c r="C63" i="3"/>
  <c r="C59" i="3"/>
  <c r="C35" i="3"/>
  <c r="C61" i="3"/>
  <c r="C53" i="3"/>
  <c r="C45" i="3"/>
  <c r="C37" i="3"/>
  <c r="C29" i="3"/>
  <c r="C21" i="3"/>
  <c r="C13" i="3"/>
  <c r="D7" i="2"/>
  <c r="D8" i="2" s="1"/>
  <c r="C9" i="2"/>
  <c r="C66" i="1"/>
  <c r="D62" i="1"/>
  <c r="C60" i="1"/>
  <c r="D51" i="1"/>
  <c r="E64" i="1"/>
  <c r="D64" i="1"/>
  <c r="C67" i="1"/>
  <c r="H51" i="1"/>
  <c r="E79" i="1" s="1"/>
  <c r="F51" i="1"/>
  <c r="C79" i="1" s="1"/>
  <c r="D65" i="1"/>
  <c r="G51" i="1"/>
  <c r="D79" i="1" s="1"/>
  <c r="C64" i="1"/>
  <c r="D61" i="1"/>
  <c r="C65" i="1"/>
  <c r="E61" i="1"/>
  <c r="C61" i="1"/>
  <c r="D63" i="1"/>
  <c r="E51" i="1"/>
  <c r="E80" i="1" s="1"/>
  <c r="E65" i="1"/>
  <c r="C63" i="1"/>
  <c r="D66" i="1"/>
  <c r="E62" i="1"/>
  <c r="E67" i="1"/>
  <c r="D60" i="1"/>
  <c r="E60" i="1"/>
  <c r="C62" i="1"/>
  <c r="E66" i="1"/>
  <c r="E63" i="1"/>
  <c r="D8" i="4" l="1"/>
  <c r="D9" i="4" s="1"/>
  <c r="D10" i="4" s="1"/>
  <c r="D80" i="1"/>
  <c r="C53" i="1"/>
  <c r="C82" i="1" s="1"/>
  <c r="E53" i="1"/>
  <c r="E82" i="1" s="1"/>
  <c r="D53" i="1"/>
  <c r="D82" i="1" s="1"/>
  <c r="C81" i="1"/>
  <c r="D69" i="1"/>
  <c r="D83" i="1" s="1"/>
  <c r="E52" i="1"/>
  <c r="E81" i="1" s="1"/>
  <c r="D70" i="1"/>
  <c r="D84" i="1" s="1"/>
  <c r="C83" i="1"/>
  <c r="C80" i="1"/>
  <c r="E70" i="1"/>
  <c r="E84" i="1" s="1"/>
  <c r="D81" i="1"/>
  <c r="E69" i="1"/>
  <c r="E83" i="1" s="1"/>
  <c r="C84" i="1"/>
</calcChain>
</file>

<file path=xl/sharedStrings.xml><?xml version="1.0" encoding="utf-8"?>
<sst xmlns="http://schemas.openxmlformats.org/spreadsheetml/2006/main" count="121" uniqueCount="77">
  <si>
    <t>Параметр</t>
  </si>
  <si>
    <t>Проект А</t>
  </si>
  <si>
    <t>Проект Б</t>
  </si>
  <si>
    <t>Проект В</t>
  </si>
  <si>
    <t>Начальные инвестиции</t>
  </si>
  <si>
    <t>Годовой доход 1 год</t>
  </si>
  <si>
    <t>Годовой доход 2 год</t>
  </si>
  <si>
    <t>Годовой доход 3 год</t>
  </si>
  <si>
    <t>Годовой доход 4 год</t>
  </si>
  <si>
    <t>Годовой доход 5 год</t>
  </si>
  <si>
    <t>Ликвидационная стоимость</t>
  </si>
  <si>
    <t>Ставка дисконтирования</t>
  </si>
  <si>
    <t>Индекс рентабельности</t>
  </si>
  <si>
    <t>Дисконтированный срок окупаемости</t>
  </si>
  <si>
    <t>Чистая приведенная стоимость</t>
  </si>
  <si>
    <t>Внутренняя ставка доходности</t>
  </si>
  <si>
    <t>Период</t>
  </si>
  <si>
    <t>Дисконтированный поток</t>
  </si>
  <si>
    <t>Накопленный поток</t>
  </si>
  <si>
    <t>Таблица зависимости ЧПС от ставки дисконтирования</t>
  </si>
  <si>
    <t>Ставка</t>
  </si>
  <si>
    <t>Точки Фишера: 0% ставка для проектов A и В, 100% ставка для проектов Б и В</t>
  </si>
  <si>
    <t>Анализ сценариев</t>
  </si>
  <si>
    <t>Пессимистичный</t>
  </si>
  <si>
    <t>Оптимистичный</t>
  </si>
  <si>
    <t>Максимальная ЧСП</t>
  </si>
  <si>
    <t>Минимальная ЧСП</t>
  </si>
  <si>
    <t>Расчет налогов</t>
  </si>
  <si>
    <t>Амортизация</t>
  </si>
  <si>
    <t>Годовой налог 1 год</t>
  </si>
  <si>
    <t>Годовой налог 2 год</t>
  </si>
  <si>
    <t>Годовой налог 3 год</t>
  </si>
  <si>
    <t>Годовой налог 4 год</t>
  </si>
  <si>
    <t>Годовой налог 5 год</t>
  </si>
  <si>
    <t>Годовой налог 0 год</t>
  </si>
  <si>
    <t>Годовой налог -1 год</t>
  </si>
  <si>
    <t>Годовой налог -2 год</t>
  </si>
  <si>
    <t>Годовой налог -3 год</t>
  </si>
  <si>
    <t>Годовой налог -4 год</t>
  </si>
  <si>
    <t>Годовой доход 6 год</t>
  </si>
  <si>
    <t>Годовой доход 7 год</t>
  </si>
  <si>
    <t>Годовой доход 8 год</t>
  </si>
  <si>
    <t>Годовой доход 9 год</t>
  </si>
  <si>
    <t>ЧПС</t>
  </si>
  <si>
    <t>ВСД</t>
  </si>
  <si>
    <t>Итоговая таблица</t>
  </si>
  <si>
    <t>ЧПС Базовый</t>
  </si>
  <si>
    <t xml:space="preserve">ВСД базовый  </t>
  </si>
  <si>
    <t>ЧПС оптимистичный</t>
  </si>
  <si>
    <t>ЧПС пессимистичный</t>
  </si>
  <si>
    <t>ЧПС с налогами</t>
  </si>
  <si>
    <t>ВСД с налогами</t>
  </si>
  <si>
    <t>Дисконтированный поток А</t>
  </si>
  <si>
    <t>Накопленный поток А</t>
  </si>
  <si>
    <t xml:space="preserve">Дисконтированный поток Б </t>
  </si>
  <si>
    <t>Накопленный поток Б</t>
  </si>
  <si>
    <t>Дисконтированный поток В</t>
  </si>
  <si>
    <t>Накопленный поток В</t>
  </si>
  <si>
    <t>Год</t>
  </si>
  <si>
    <t>Денежный поток</t>
  </si>
  <si>
    <t>Параметры</t>
  </si>
  <si>
    <t>Значение</t>
  </si>
  <si>
    <t>Срок окупаемости:</t>
  </si>
  <si>
    <t>Сумма кредита</t>
  </si>
  <si>
    <t>Годовая ставка</t>
  </si>
  <si>
    <t>Срок (лет)</t>
  </si>
  <si>
    <t>Месяц</t>
  </si>
  <si>
    <t>Основной долг</t>
  </si>
  <si>
    <t>Проценты</t>
  </si>
  <si>
    <t>Остаток долга</t>
  </si>
  <si>
    <t>Линейный метод</t>
  </si>
  <si>
    <t>Остаточная стоимость</t>
  </si>
  <si>
    <t>Двойная амортизация</t>
  </si>
  <si>
    <t>Первоначальная стоимость</t>
  </si>
  <si>
    <t>Срок службы (лет)</t>
  </si>
  <si>
    <t>Ежемесячный платёж</t>
  </si>
  <si>
    <t>Платёж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</si>
</sst>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8" formatCode="#,##0.00\ &quot;₽&quot;;[Red]\-#,##0.00\ &quot;₽&quot;"/>
    <numFmt numFmtId="44" formatCode="_-* #,##0.00\ &quot;₽&quot;_-;\-* #,##0.00\ &quot;₽&quot;_-;_-* &quot;-&quot;??\ &quot;₽&quot;_-;_-@_-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0"/>
      <color theme="1"/>
      <name val="Calibri"/>
      <family val="2"/>
      <charset val="204"/>
    </font>
    <font>
      <sz val="8"/>
      <name val="Aptos Narrow"/>
      <family val="2"/>
      <charset val="204"/>
      <scheme val="minor"/>
    </font>
    <font>
      <b/>
      <sz val="8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44" fontId="1" fillId="0" borderId="0" applyFont="0" applyFill="0" applyBorder="0" applyAlignment="0" applyProtection="0"/>
  </cellStyleXfs>
  <cellXfs count="110">
    <xf numFmtId="0" fontId="0" fillId="0" borderId="0" xfId="0"/>
    <xf numFmtId="3" fontId="0" fillId="0" borderId="0" xfId="0" applyNumberFormat="1"/>
    <xf numFmtId="9" fontId="0" fillId="0" borderId="0" xfId="0" applyNumberFormat="1"/>
    <xf numFmtId="9" fontId="3" fillId="0" borderId="2" xfId="0" applyNumberFormat="1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horizontal="left" vertical="center" wrapText="1" indent="2"/>
    </xf>
    <xf numFmtId="9" fontId="3" fillId="0" borderId="9" xfId="0" applyNumberFormat="1" applyFont="1" applyBorder="1" applyAlignment="1">
      <alignment horizontal="left" vertical="center" wrapText="1" indent="2"/>
    </xf>
    <xf numFmtId="9" fontId="3" fillId="0" borderId="10" xfId="0" applyNumberFormat="1" applyFont="1" applyBorder="1" applyAlignment="1">
      <alignment horizontal="left" vertical="center" wrapText="1" indent="2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Border="1"/>
    <xf numFmtId="4" fontId="3" fillId="0" borderId="2" xfId="0" applyNumberFormat="1" applyFont="1" applyBorder="1" applyAlignment="1">
      <alignment horizontal="left" vertical="center" wrapText="1" indent="2"/>
    </xf>
    <xf numFmtId="4" fontId="3" fillId="0" borderId="7" xfId="0" applyNumberFormat="1" applyFont="1" applyBorder="1" applyAlignment="1">
      <alignment horizontal="left" vertical="center" wrapText="1" indent="2"/>
    </xf>
    <xf numFmtId="4" fontId="0" fillId="0" borderId="2" xfId="0" applyNumberFormat="1" applyBorder="1"/>
    <xf numFmtId="0" fontId="0" fillId="0" borderId="3" xfId="0" applyBorder="1"/>
    <xf numFmtId="4" fontId="0" fillId="0" borderId="7" xfId="0" applyNumberFormat="1" applyBorder="1"/>
    <xf numFmtId="0" fontId="0" fillId="0" borderId="9" xfId="0" applyBorder="1"/>
    <xf numFmtId="4" fontId="0" fillId="0" borderId="10" xfId="0" applyNumberFormat="1" applyBorder="1"/>
    <xf numFmtId="9" fontId="0" fillId="0" borderId="2" xfId="0" applyNumberFormat="1" applyBorder="1"/>
    <xf numFmtId="8" fontId="0" fillId="0" borderId="2" xfId="0" applyNumberFormat="1" applyBorder="1"/>
    <xf numFmtId="9" fontId="0" fillId="0" borderId="6" xfId="0" applyNumberFormat="1" applyBorder="1"/>
    <xf numFmtId="8" fontId="0" fillId="0" borderId="7" xfId="0" applyNumberFormat="1" applyBorder="1"/>
    <xf numFmtId="9" fontId="0" fillId="0" borderId="8" xfId="0" applyNumberFormat="1" applyBorder="1"/>
    <xf numFmtId="8" fontId="0" fillId="0" borderId="9" xfId="0" applyNumberFormat="1" applyBorder="1"/>
    <xf numFmtId="8" fontId="0" fillId="0" borderId="10" xfId="0" applyNumberFormat="1" applyBorder="1"/>
    <xf numFmtId="9" fontId="0" fillId="0" borderId="0" xfId="0" applyNumberFormat="1" applyBorder="1"/>
    <xf numFmtId="8" fontId="0" fillId="0" borderId="0" xfId="0" applyNumberFormat="1" applyBorder="1"/>
    <xf numFmtId="10" fontId="0" fillId="0" borderId="0" xfId="0" applyNumberFormat="1" applyBorder="1"/>
    <xf numFmtId="2" fontId="3" fillId="0" borderId="0" xfId="0" applyNumberFormat="1" applyFont="1" applyFill="1" applyBorder="1" applyAlignment="1">
      <alignment horizontal="left" vertical="center"/>
    </xf>
    <xf numFmtId="2" fontId="0" fillId="0" borderId="0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 vertical="center" wrapText="1" indent="2"/>
    </xf>
    <xf numFmtId="2" fontId="3" fillId="0" borderId="7" xfId="0" applyNumberFormat="1" applyFont="1" applyBorder="1" applyAlignment="1">
      <alignment horizontal="left" vertical="center" wrapText="1" indent="2"/>
    </xf>
    <xf numFmtId="10" fontId="0" fillId="0" borderId="6" xfId="0" applyNumberFormat="1" applyBorder="1"/>
    <xf numFmtId="10" fontId="0" fillId="0" borderId="8" xfId="0" applyNumberFormat="1" applyBorder="1"/>
    <xf numFmtId="2" fontId="0" fillId="0" borderId="2" xfId="0" applyNumberFormat="1" applyBorder="1"/>
    <xf numFmtId="9" fontId="0" fillId="0" borderId="2" xfId="1" applyFont="1" applyBorder="1"/>
    <xf numFmtId="2" fontId="0" fillId="0" borderId="2" xfId="1" applyNumberFormat="1" applyFont="1" applyBorder="1"/>
    <xf numFmtId="2" fontId="0" fillId="0" borderId="7" xfId="0" applyNumberFormat="1" applyBorder="1"/>
    <xf numFmtId="9" fontId="0" fillId="0" borderId="7" xfId="1" applyFont="1" applyBorder="1"/>
    <xf numFmtId="2" fontId="0" fillId="0" borderId="7" xfId="1" applyNumberFormat="1" applyFont="1" applyBorder="1"/>
    <xf numFmtId="0" fontId="0" fillId="0" borderId="14" xfId="0" applyBorder="1"/>
    <xf numFmtId="10" fontId="0" fillId="0" borderId="15" xfId="0" applyNumberFormat="1" applyBorder="1"/>
    <xf numFmtId="9" fontId="0" fillId="0" borderId="9" xfId="0" applyNumberFormat="1" applyBorder="1"/>
    <xf numFmtId="9" fontId="0" fillId="0" borderId="10" xfId="0" applyNumberFormat="1" applyBorder="1"/>
    <xf numFmtId="2" fontId="6" fillId="0" borderId="2" xfId="0" applyNumberFormat="1" applyFont="1" applyBorder="1" applyAlignment="1"/>
    <xf numFmtId="2" fontId="0" fillId="0" borderId="4" xfId="0" applyNumberFormat="1" applyBorder="1"/>
    <xf numFmtId="2" fontId="0" fillId="0" borderId="5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0" fillId="0" borderId="7" xfId="0" applyBorder="1"/>
    <xf numFmtId="9" fontId="3" fillId="0" borderId="7" xfId="0" applyNumberFormat="1" applyFont="1" applyBorder="1" applyAlignment="1">
      <alignment horizontal="left" vertical="center" wrapText="1" indent="2"/>
    </xf>
    <xf numFmtId="3" fontId="2" fillId="2" borderId="9" xfId="2" applyNumberFormat="1" applyBorder="1"/>
    <xf numFmtId="3" fontId="2" fillId="2" borderId="10" xfId="2" applyNumberFormat="1" applyBorder="1"/>
    <xf numFmtId="0" fontId="5" fillId="2" borderId="16" xfId="2" applyFont="1" applyBorder="1" applyAlignment="1">
      <alignment horizontal="left" vertical="center" wrapText="1" indent="2"/>
    </xf>
    <xf numFmtId="3" fontId="2" fillId="2" borderId="17" xfId="2" applyNumberFormat="1" applyBorder="1"/>
    <xf numFmtId="10" fontId="0" fillId="0" borderId="3" xfId="0" applyNumberFormat="1" applyBorder="1"/>
    <xf numFmtId="8" fontId="0" fillId="0" borderId="4" xfId="0" applyNumberFormat="1" applyBorder="1"/>
    <xf numFmtId="8" fontId="0" fillId="0" borderId="5" xfId="0" applyNumberFormat="1" applyBorder="1"/>
    <xf numFmtId="9" fontId="0" fillId="0" borderId="7" xfId="0" applyNumberFormat="1" applyBorder="1"/>
    <xf numFmtId="0" fontId="0" fillId="0" borderId="10" xfId="0" applyBorder="1"/>
    <xf numFmtId="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8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6" fillId="0" borderId="0" xfId="0" applyFont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3" borderId="19" xfId="0" applyFill="1" applyBorder="1"/>
    <xf numFmtId="0" fontId="0" fillId="3" borderId="20" xfId="0" applyFill="1" applyBorder="1"/>
    <xf numFmtId="0" fontId="0" fillId="0" borderId="22" xfId="0" applyBorder="1"/>
    <xf numFmtId="8" fontId="0" fillId="0" borderId="23" xfId="0" applyNumberFormat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6" fontId="0" fillId="0" borderId="7" xfId="0" applyNumberFormat="1" applyBorder="1"/>
    <xf numFmtId="0" fontId="0" fillId="0" borderId="7" xfId="0" applyNumberFormat="1" applyBorder="1"/>
    <xf numFmtId="8" fontId="0" fillId="0" borderId="24" xfId="0" applyNumberFormat="1" applyBorder="1"/>
    <xf numFmtId="0" fontId="0" fillId="3" borderId="21" xfId="0" applyFill="1" applyBorder="1"/>
    <xf numFmtId="8" fontId="3" fillId="0" borderId="2" xfId="0" applyNumberFormat="1" applyFont="1" applyBorder="1"/>
    <xf numFmtId="0" fontId="0" fillId="0" borderId="6" xfId="3" applyNumberFormat="1" applyFont="1" applyBorder="1"/>
    <xf numFmtId="8" fontId="3" fillId="0" borderId="7" xfId="0" applyNumberFormat="1" applyFont="1" applyBorder="1" applyAlignment="1">
      <alignment vertical="center"/>
    </xf>
    <xf numFmtId="8" fontId="3" fillId="0" borderId="9" xfId="0" applyNumberFormat="1" applyFont="1" applyBorder="1"/>
    <xf numFmtId="8" fontId="3" fillId="0" borderId="10" xfId="0" applyNumberFormat="1" applyFont="1" applyBorder="1" applyAlignment="1">
      <alignment vertical="center"/>
    </xf>
    <xf numFmtId="0" fontId="3" fillId="3" borderId="3" xfId="0" applyFont="1" applyFill="1" applyBorder="1" applyAlignment="1">
      <alignment horizontal="left" vertical="center" wrapText="1" indent="2"/>
    </xf>
    <xf numFmtId="0" fontId="3" fillId="3" borderId="4" xfId="0" applyFont="1" applyFill="1" applyBorder="1" applyAlignment="1">
      <alignment horizontal="left" vertical="center" wrapText="1" indent="2"/>
    </xf>
    <xf numFmtId="0" fontId="3" fillId="3" borderId="5" xfId="0" applyFont="1" applyFill="1" applyBorder="1" applyAlignment="1">
      <alignment horizontal="left" vertical="center" wrapText="1" indent="2"/>
    </xf>
    <xf numFmtId="0" fontId="0" fillId="3" borderId="6" xfId="0" applyFill="1" applyBorder="1"/>
    <xf numFmtId="0" fontId="0" fillId="3" borderId="8" xfId="0" applyFill="1" applyBorder="1"/>
    <xf numFmtId="9" fontId="0" fillId="3" borderId="3" xfId="0" applyNumberFormat="1" applyFill="1" applyBorder="1" applyAlignment="1"/>
    <xf numFmtId="9" fontId="0" fillId="3" borderId="4" xfId="0" applyNumberFormat="1" applyFill="1" applyBorder="1" applyAlignment="1">
      <alignment horizontal="center"/>
    </xf>
    <xf numFmtId="8" fontId="0" fillId="3" borderId="4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0" fontId="3" fillId="3" borderId="6" xfId="0" applyFont="1" applyFill="1" applyBorder="1" applyAlignment="1">
      <alignment horizontal="left" vertical="center" wrapText="1" indent="2"/>
    </xf>
    <xf numFmtId="0" fontId="0" fillId="3" borderId="2" xfId="0" applyFill="1" applyBorder="1"/>
    <xf numFmtId="0" fontId="0" fillId="3" borderId="7" xfId="0" applyFill="1" applyBorder="1"/>
    <xf numFmtId="0" fontId="3" fillId="3" borderId="8" xfId="0" applyFont="1" applyFill="1" applyBorder="1" applyAlignment="1">
      <alignment horizontal="left" vertical="center" wrapText="1" indent="2"/>
    </xf>
    <xf numFmtId="10" fontId="6" fillId="3" borderId="11" xfId="0" applyNumberFormat="1" applyFont="1" applyFill="1" applyBorder="1" applyAlignment="1">
      <alignment horizontal="center"/>
    </xf>
    <xf numFmtId="10" fontId="6" fillId="3" borderId="12" xfId="0" applyNumberFormat="1" applyFont="1" applyFill="1" applyBorder="1" applyAlignment="1">
      <alignment horizontal="center"/>
    </xf>
    <xf numFmtId="10" fontId="6" fillId="3" borderId="13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left" vertical="center" wrapText="1" indent="2"/>
    </xf>
    <xf numFmtId="0" fontId="3" fillId="3" borderId="7" xfId="0" applyFont="1" applyFill="1" applyBorder="1" applyAlignment="1">
      <alignment horizontal="left" vertical="center" wrapText="1" indent="2"/>
    </xf>
    <xf numFmtId="4" fontId="0" fillId="0" borderId="4" xfId="0" applyNumberFormat="1" applyBorder="1"/>
  </cellXfs>
  <cellStyles count="4">
    <cellStyle name="Денежный" xfId="3" builtinId="4"/>
    <cellStyle name="Контрольная ячейка" xfId="2" builtinId="2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effectLst/>
              </a:rPr>
              <a:t>Профиль ЧПС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4'!$C$31</c:f>
              <c:strCache>
                <c:ptCount val="1"/>
                <c:pt idx="0">
                  <c:v>Проект 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'Задание 4'!$B$32:$B$37</c:f>
              <c:numCache>
                <c:formatCode>0%</c:formatCode>
                <c:ptCount val="6"/>
                <c:pt idx="0">
                  <c:v>0.08</c:v>
                </c:pt>
                <c:pt idx="1">
                  <c:v>0.1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0.18</c:v>
                </c:pt>
              </c:numCache>
            </c:numRef>
          </c:cat>
          <c:val>
            <c:numRef>
              <c:f>'Задание 4'!$C$32:$C$37</c:f>
              <c:numCache>
                <c:formatCode>"₽"#,##0.00_);[Red]\("₽"#,##0.00\)</c:formatCode>
                <c:ptCount val="6"/>
                <c:pt idx="0">
                  <c:v>528722.25996286911</c:v>
                </c:pt>
                <c:pt idx="1">
                  <c:v>415852.1778250928</c:v>
                </c:pt>
                <c:pt idx="2">
                  <c:v>312424.39461907023</c:v>
                </c:pt>
                <c:pt idx="3">
                  <c:v>217447.3448329966</c:v>
                </c:pt>
                <c:pt idx="4">
                  <c:v>130051.86711568106</c:v>
                </c:pt>
                <c:pt idx="5">
                  <c:v>49474.045569484588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D-4E9B-80AA-B9CBE1DCBDC2}"/>
            </c:ext>
          </c:extLst>
        </c:ser>
        <c:ser>
          <c:idx val="1"/>
          <c:order val="1"/>
          <c:tx>
            <c:strRef>
              <c:f>'Задание 4'!$D$31</c:f>
              <c:strCache>
                <c:ptCount val="1"/>
                <c:pt idx="0">
                  <c:v>Проект 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'Задание 4'!$B$32:$B$37</c:f>
              <c:numCache>
                <c:formatCode>0%</c:formatCode>
                <c:ptCount val="6"/>
                <c:pt idx="0">
                  <c:v>0.08</c:v>
                </c:pt>
                <c:pt idx="1">
                  <c:v>0.1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0.18</c:v>
                </c:pt>
              </c:numCache>
            </c:numRef>
          </c:cat>
          <c:val>
            <c:numRef>
              <c:f>'Задание 4'!$D$32:$D$37</c:f>
              <c:numCache>
                <c:formatCode>"₽"#,##0.00_);[Red]\("₽"#,##0.00\)</c:formatCode>
                <c:ptCount val="6"/>
                <c:pt idx="0">
                  <c:v>858772.74872264126</c:v>
                </c:pt>
                <c:pt idx="1">
                  <c:v>702233.2282094704</c:v>
                </c:pt>
                <c:pt idx="2">
                  <c:v>558711.19114693673</c:v>
                </c:pt>
                <c:pt idx="3">
                  <c:v>426842.86598889111</c:v>
                </c:pt>
                <c:pt idx="4">
                  <c:v>305432.71058129938</c:v>
                </c:pt>
                <c:pt idx="5">
                  <c:v>193429.82671678159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D-4E9B-80AA-B9CBE1DCBDC2}"/>
            </c:ext>
          </c:extLst>
        </c:ser>
        <c:ser>
          <c:idx val="2"/>
          <c:order val="2"/>
          <c:tx>
            <c:strRef>
              <c:f>'Задание 4'!$E$31</c:f>
              <c:strCache>
                <c:ptCount val="1"/>
                <c:pt idx="0">
                  <c:v>Проект 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'Задание 4'!$B$32:$B$37</c:f>
              <c:numCache>
                <c:formatCode>0%</c:formatCode>
                <c:ptCount val="6"/>
                <c:pt idx="0">
                  <c:v>0.08</c:v>
                </c:pt>
                <c:pt idx="1">
                  <c:v>0.1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0.18</c:v>
                </c:pt>
              </c:numCache>
            </c:numRef>
          </c:cat>
          <c:val>
            <c:numRef>
              <c:f>'Задание 4'!$E$32:$E$37</c:f>
              <c:numCache>
                <c:formatCode>"₽"#,##0.00_);[Red]\("₽"#,##0.00\)</c:formatCode>
                <c:ptCount val="6"/>
                <c:pt idx="0">
                  <c:v>414428.70694430359</c:v>
                </c:pt>
                <c:pt idx="1">
                  <c:v>280395.76396183856</c:v>
                </c:pt>
                <c:pt idx="2">
                  <c:v>158056.64104003157</c:v>
                </c:pt>
                <c:pt idx="3">
                  <c:v>46148.604556879494</c:v>
                </c:pt>
                <c:pt idx="4">
                  <c:v>-56431.858192055952</c:v>
                </c:pt>
                <c:pt idx="5">
                  <c:v>-150651.74964081706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D-4E9B-80AA-B9CBE1DCB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568063"/>
        <c:axId val="723568543"/>
      </c:lineChart>
      <c:catAx>
        <c:axId val="72356806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568543"/>
        <c:crosses val="autoZero"/>
        <c:auto val="1"/>
        <c:lblAlgn val="ctr"/>
        <c:lblOffset val="100"/>
        <c:noMultiLvlLbl val="0"/>
      </c:catAx>
      <c:valAx>
        <c:axId val="7235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5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'Задание 4'!$B$74</c:f>
              <c:strCache>
                <c:ptCount val="1"/>
                <c:pt idx="0">
                  <c:v>ЧПС Базовый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4'!$C$73:$E$73</c:f>
              <c:strCache>
                <c:ptCount val="3"/>
                <c:pt idx="0">
                  <c:v>Проект А</c:v>
                </c:pt>
                <c:pt idx="1">
                  <c:v>Проект Б</c:v>
                </c:pt>
                <c:pt idx="2">
                  <c:v>Проект В</c:v>
                </c:pt>
              </c:strCache>
            </c:strRef>
          </c:cat>
          <c:val>
            <c:numRef>
              <c:f>'Задание 4'!$C$74:$E$74</c:f>
              <c:numCache>
                <c:formatCode>0.00</c:formatCode>
                <c:ptCount val="3"/>
                <c:pt idx="0">
                  <c:v>312424.39461907023</c:v>
                </c:pt>
                <c:pt idx="1">
                  <c:v>558711.19114693673</c:v>
                </c:pt>
                <c:pt idx="2">
                  <c:v>158056.64104003157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F-464F-9CCE-0C3E2DCAA843}"/>
            </c:ext>
          </c:extLst>
        </c:ser>
        <c:ser>
          <c:idx val="1"/>
          <c:order val="1"/>
          <c:tx>
            <c:strRef>
              <c:f>'Задание 4'!$B$75</c:f>
              <c:strCache>
                <c:ptCount val="1"/>
                <c:pt idx="0">
                  <c:v>ВСД базовый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4'!$C$73:$E$73</c:f>
              <c:strCache>
                <c:ptCount val="3"/>
                <c:pt idx="0">
                  <c:v>Проект А</c:v>
                </c:pt>
                <c:pt idx="1">
                  <c:v>Проект Б</c:v>
                </c:pt>
                <c:pt idx="2">
                  <c:v>Проект В</c:v>
                </c:pt>
              </c:strCache>
            </c:strRef>
          </c:cat>
          <c:val>
            <c:numRef>
              <c:f>'Задание 4'!$C$75:$E$75</c:f>
              <c:numCache>
                <c:formatCode>0%</c:formatCode>
                <c:ptCount val="3"/>
                <c:pt idx="0">
                  <c:v>0.193117564122542</c:v>
                </c:pt>
                <c:pt idx="1">
                  <c:v>0.21871331300588981</c:v>
                </c:pt>
                <c:pt idx="2">
                  <c:v>0.14878528169434935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F-464F-9CCE-0C3E2DCAA843}"/>
            </c:ext>
          </c:extLst>
        </c:ser>
        <c:ser>
          <c:idx val="2"/>
          <c:order val="2"/>
          <c:tx>
            <c:strRef>
              <c:f>'Задание 4'!$B$76</c:f>
              <c:strCache>
                <c:ptCount val="1"/>
                <c:pt idx="0">
                  <c:v>Индекс рентабельности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4'!$C$73:$E$73</c:f>
              <c:strCache>
                <c:ptCount val="3"/>
                <c:pt idx="0">
                  <c:v>Проект А</c:v>
                </c:pt>
                <c:pt idx="1">
                  <c:v>Проект Б</c:v>
                </c:pt>
                <c:pt idx="2">
                  <c:v>Проект В</c:v>
                </c:pt>
              </c:strCache>
            </c:strRef>
          </c:cat>
          <c:val>
            <c:numRef>
              <c:f>'Задание 4'!$C$76:$E$76</c:f>
              <c:numCache>
                <c:formatCode>0.00</c:formatCode>
                <c:ptCount val="3"/>
                <c:pt idx="0">
                  <c:v>2.2082829297460465</c:v>
                </c:pt>
                <c:pt idx="1">
                  <c:v>2.2793555955734681</c:v>
                </c:pt>
                <c:pt idx="2">
                  <c:v>2.0878092450222399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F-464F-9CCE-0C3E2DCAA843}"/>
            </c:ext>
          </c:extLst>
        </c:ser>
        <c:ser>
          <c:idx val="3"/>
          <c:order val="3"/>
          <c:tx>
            <c:strRef>
              <c:f>'Задание 4'!$B$77</c:f>
              <c:strCache>
                <c:ptCount val="1"/>
                <c:pt idx="0">
                  <c:v>Дисконтированный поток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4'!$C$73:$E$73</c:f>
              <c:strCache>
                <c:ptCount val="3"/>
                <c:pt idx="0">
                  <c:v>Проект А</c:v>
                </c:pt>
                <c:pt idx="1">
                  <c:v>Проект Б</c:v>
                </c:pt>
                <c:pt idx="2">
                  <c:v>Проект В</c:v>
                </c:pt>
              </c:strCache>
            </c:strRef>
          </c:cat>
          <c:val>
            <c:numRef>
              <c:f>'Задание 4'!$C$77:$E$77</c:f>
              <c:numCache>
                <c:formatCode>"₽"#,##0.00_);[Red]\("₽"#,##0.00\)</c:formatCode>
                <c:ptCount val="3"/>
                <c:pt idx="0">
                  <c:v>50663.112117732067</c:v>
                </c:pt>
                <c:pt idx="1">
                  <c:v>75994.668176598105</c:v>
                </c:pt>
                <c:pt idx="2">
                  <c:v>158056.64104003151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F-464F-9CCE-0C3E2DCAA843}"/>
            </c:ext>
          </c:extLst>
        </c:ser>
        <c:ser>
          <c:idx val="4"/>
          <c:order val="4"/>
          <c:tx>
            <c:strRef>
              <c:f>'Задание 4'!$B$78</c:f>
              <c:strCache>
                <c:ptCount val="1"/>
                <c:pt idx="0">
                  <c:v>Накопленный поток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'Задание 4'!$C$73:$E$73</c:f>
              <c:strCache>
                <c:ptCount val="3"/>
                <c:pt idx="0">
                  <c:v>Проект А</c:v>
                </c:pt>
                <c:pt idx="1">
                  <c:v>Проект Б</c:v>
                </c:pt>
                <c:pt idx="2">
                  <c:v>Проект В</c:v>
                </c:pt>
              </c:strCache>
            </c:strRef>
          </c:cat>
          <c:val>
            <c:numRef>
              <c:f>'Задание 4'!$C$78:$E$78</c:f>
              <c:numCache>
                <c:formatCode>"₽"#,##0.00_);[Red]\("₽"#,##0.00\)</c:formatCode>
                <c:ptCount val="3"/>
                <c:pt idx="0">
                  <c:v>312424.39461907023</c:v>
                </c:pt>
                <c:pt idx="1">
                  <c:v>758711.19114693743</c:v>
                </c:pt>
                <c:pt idx="2">
                  <c:v>158056.64104003151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9F-464F-9CCE-0C3E2DCAA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285311"/>
        <c:axId val="329285791"/>
      </c:radarChart>
      <c:catAx>
        <c:axId val="32928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285791"/>
        <c:crosses val="autoZero"/>
        <c:auto val="1"/>
        <c:lblAlgn val="ctr"/>
        <c:lblOffset val="100"/>
        <c:noMultiLvlLbl val="0"/>
      </c:catAx>
      <c:valAx>
        <c:axId val="3292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28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253872</xdr:colOff>
      <xdr:row>23</xdr:row>
      <xdr:rowOff>0</xdr:rowOff>
    </xdr:from>
    <xdr:to>
      <xdr:col>21</xdr:col>
      <xdr:colOff>57462</xdr:colOff>
      <xdr:row>37</xdr:row>
      <xdr:rowOff>166436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2C1842-F263-D6CB-E1C9-F5FEC829E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500744</xdr:colOff>
      <xdr:row>86</xdr:row>
      <xdr:rowOff>0</xdr:rowOff>
    </xdr:from>
    <xdr:to>
      <xdr:col>3</xdr:col>
      <xdr:colOff>1632858</xdr:colOff>
      <xdr:row>100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BCF36BB-D830-D413-5984-ECFB9CDAE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6292-5207-4916-AE8C-FD9ABD729480}">
  <dimension ref="B1:F9"/>
  <sheetViews>
    <sheetView workbookViewId="0">
      <selection activeCell="D6" sqref="D6"/>
    </sheetView>
  </sheetViews>
  <sheetFormatPr defaultRowHeight="14.4" x14ac:dyDescent="0.3"/>
  <cols>
    <col min="1" max="1" width="8.21875" customWidth="1"/>
    <col min="2" max="2" width="14.5546875" customWidth="1"/>
    <col min="3" max="3" width="9.88671875" customWidth="1"/>
    <col min="4" max="4" width="16.21875" customWidth="1"/>
    <col min="5" max="5" width="23.33203125" customWidth="1"/>
    <col min="6" max="6" width="15.33203125" customWidth="1"/>
  </cols>
  <sheetData>
    <row r="1" spans="2:6" ht="15" thickBot="1" x14ac:dyDescent="0.35"/>
    <row r="2" spans="2:6" s="71" customFormat="1" ht="28.8" x14ac:dyDescent="0.3">
      <c r="B2" s="72" t="s">
        <v>58</v>
      </c>
      <c r="C2" s="73" t="s">
        <v>59</v>
      </c>
      <c r="D2" s="73" t="s">
        <v>18</v>
      </c>
      <c r="E2" s="73" t="s">
        <v>60</v>
      </c>
      <c r="F2" s="74" t="s">
        <v>61</v>
      </c>
    </row>
    <row r="3" spans="2:6" x14ac:dyDescent="0.3">
      <c r="B3" s="11">
        <v>0</v>
      </c>
      <c r="C3" s="8">
        <v>-500000</v>
      </c>
      <c r="D3" s="8">
        <f>C3</f>
        <v>-500000</v>
      </c>
      <c r="E3" s="8" t="s">
        <v>20</v>
      </c>
      <c r="F3" s="61">
        <v>0.12</v>
      </c>
    </row>
    <row r="4" spans="2:6" x14ac:dyDescent="0.3">
      <c r="B4" s="11">
        <v>1</v>
      </c>
      <c r="C4" s="8">
        <v>120000</v>
      </c>
      <c r="D4" s="8">
        <f>D3+C4</f>
        <v>-380000</v>
      </c>
      <c r="E4" s="8" t="s">
        <v>43</v>
      </c>
      <c r="F4" s="24">
        <f>NPV($F$3,C4:C8)+C3</f>
        <v>106779.90732098208</v>
      </c>
    </row>
    <row r="5" spans="2:6" x14ac:dyDescent="0.3">
      <c r="B5" s="11">
        <v>2</v>
      </c>
      <c r="C5" s="8">
        <v>150000</v>
      </c>
      <c r="D5" s="8">
        <f>D4+C5</f>
        <v>-230000</v>
      </c>
      <c r="E5" s="8" t="s">
        <v>44</v>
      </c>
      <c r="F5" s="61">
        <f>IRR(C3:C8)</f>
        <v>0.19442495225528988</v>
      </c>
    </row>
    <row r="6" spans="2:6" x14ac:dyDescent="0.3">
      <c r="B6" s="11">
        <v>3</v>
      </c>
      <c r="C6" s="8">
        <v>180000</v>
      </c>
      <c r="D6" s="8">
        <f>D5+C6</f>
        <v>-50000</v>
      </c>
      <c r="E6" s="8"/>
      <c r="F6" s="52"/>
    </row>
    <row r="7" spans="2:6" x14ac:dyDescent="0.3">
      <c r="B7" s="11">
        <v>4</v>
      </c>
      <c r="C7" s="8">
        <v>200000</v>
      </c>
      <c r="D7" s="8">
        <f>D6+C7</f>
        <v>150000</v>
      </c>
      <c r="E7" s="8"/>
      <c r="F7" s="52"/>
    </row>
    <row r="8" spans="2:6" ht="15" thickBot="1" x14ac:dyDescent="0.35">
      <c r="B8" s="66">
        <v>5</v>
      </c>
      <c r="C8" s="67">
        <v>220000</v>
      </c>
      <c r="D8" s="67">
        <f>D7+C8</f>
        <v>370000</v>
      </c>
      <c r="E8" s="67"/>
      <c r="F8" s="68"/>
    </row>
    <row r="9" spans="2:6" ht="15" thickBot="1" x14ac:dyDescent="0.35">
      <c r="B9" s="75" t="s">
        <v>62</v>
      </c>
      <c r="C9" s="76">
        <f>3 + ABS(D6)/C7</f>
        <v>3.25</v>
      </c>
      <c r="D9" s="69"/>
      <c r="E9" s="69"/>
      <c r="F9" s="7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E4BE-8196-44A4-924E-A1346D1F063D}">
  <dimension ref="B1:F71"/>
  <sheetViews>
    <sheetView topLeftCell="A24" zoomScale="76" zoomScaleNormal="40" workbookViewId="0">
      <selection activeCell="D8" sqref="D8"/>
    </sheetView>
  </sheetViews>
  <sheetFormatPr defaultRowHeight="14.4" x14ac:dyDescent="0.3"/>
  <cols>
    <col min="2" max="2" width="15.44140625" customWidth="1"/>
    <col min="3" max="3" width="26.6640625" customWidth="1"/>
    <col min="4" max="4" width="15.109375" customWidth="1"/>
    <col min="5" max="5" width="14.77734375" customWidth="1"/>
    <col min="6" max="6" width="14.109375" customWidth="1"/>
  </cols>
  <sheetData>
    <row r="1" spans="2:6" ht="15" thickBot="1" x14ac:dyDescent="0.35"/>
    <row r="2" spans="2:6" x14ac:dyDescent="0.3">
      <c r="B2" s="79" t="s">
        <v>0</v>
      </c>
      <c r="C2" s="81" t="s">
        <v>61</v>
      </c>
      <c r="D2" s="13"/>
      <c r="E2" s="13"/>
      <c r="F2" s="13"/>
    </row>
    <row r="3" spans="2:6" x14ac:dyDescent="0.3">
      <c r="B3" s="11" t="s">
        <v>63</v>
      </c>
      <c r="C3" s="82">
        <v>1000000</v>
      </c>
      <c r="D3" s="13"/>
      <c r="E3" s="13"/>
      <c r="F3" s="13"/>
    </row>
    <row r="4" spans="2:6" x14ac:dyDescent="0.3">
      <c r="B4" s="11" t="s">
        <v>64</v>
      </c>
      <c r="C4" s="61">
        <v>0.15</v>
      </c>
      <c r="D4" s="13"/>
      <c r="E4" s="13"/>
      <c r="F4" s="13"/>
    </row>
    <row r="5" spans="2:6" x14ac:dyDescent="0.3">
      <c r="B5" s="11" t="s">
        <v>65</v>
      </c>
      <c r="C5" s="83">
        <v>5</v>
      </c>
      <c r="D5" s="13"/>
      <c r="E5" s="13"/>
      <c r="F5" s="13"/>
    </row>
    <row r="6" spans="2:6" ht="15" thickBot="1" x14ac:dyDescent="0.35">
      <c r="B6" s="12" t="s">
        <v>75</v>
      </c>
      <c r="C6" s="27">
        <f>PMT(C4/12, C5*12, -C3)</f>
        <v>23789.930086358734</v>
      </c>
      <c r="D6" s="13"/>
      <c r="E6" s="13"/>
      <c r="F6" s="13"/>
    </row>
    <row r="7" spans="2:6" ht="15" thickBot="1" x14ac:dyDescent="0.35">
      <c r="B7" s="13"/>
      <c r="C7" s="29"/>
      <c r="D7" s="13"/>
      <c r="E7" s="13"/>
      <c r="F7" s="13"/>
    </row>
    <row r="8" spans="2:6" ht="15" thickBot="1" x14ac:dyDescent="0.35">
      <c r="B8" s="75" t="s">
        <v>66</v>
      </c>
      <c r="C8" s="76" t="s">
        <v>76</v>
      </c>
      <c r="D8" s="76" t="s">
        <v>67</v>
      </c>
      <c r="E8" s="76" t="s">
        <v>68</v>
      </c>
      <c r="F8" s="85" t="s">
        <v>69</v>
      </c>
    </row>
    <row r="9" spans="2:6" x14ac:dyDescent="0.3">
      <c r="B9" s="77">
        <v>1</v>
      </c>
      <c r="C9" s="78">
        <f>$C$6</f>
        <v>23789.930086358734</v>
      </c>
      <c r="D9" s="78">
        <f>PPMT($C$4/12, B9, $C$5*12, -$C$3)</f>
        <v>11289.930086358734</v>
      </c>
      <c r="E9" s="78">
        <f>IPMT($C$4/12, B9, $C$5*12, -$C$3)</f>
        <v>12499.999999999998</v>
      </c>
      <c r="F9" s="84">
        <f>$C$3 - D9</f>
        <v>988710.06991364132</v>
      </c>
    </row>
    <row r="10" spans="2:6" x14ac:dyDescent="0.3">
      <c r="B10" s="11">
        <v>2</v>
      </c>
      <c r="C10" s="22">
        <f>$C$6</f>
        <v>23789.930086358734</v>
      </c>
      <c r="D10" s="22">
        <f>PPMT($C$4/12, B10, $C$5*12, -$C$3)</f>
        <v>11431.054212438217</v>
      </c>
      <c r="E10" s="22">
        <f>IPMT($C$4/12, B10, $C$5*12, -$C$3)</f>
        <v>12358.875873920513</v>
      </c>
      <c r="F10" s="24">
        <f>F9 - D10</f>
        <v>977279.01570120314</v>
      </c>
    </row>
    <row r="11" spans="2:6" x14ac:dyDescent="0.3">
      <c r="B11" s="11">
        <v>3</v>
      </c>
      <c r="C11" s="22">
        <f>$C$6</f>
        <v>23789.930086358734</v>
      </c>
      <c r="D11" s="22">
        <f>PPMT($C$4/12, B11, $C$5*12, -$C$3)</f>
        <v>11573.942390093696</v>
      </c>
      <c r="E11" s="22">
        <f>IPMT($C$4/12, B11, $C$5*12, -$C$3)</f>
        <v>12215.987696265038</v>
      </c>
      <c r="F11" s="24">
        <f>F10 - D11</f>
        <v>965705.07331110945</v>
      </c>
    </row>
    <row r="12" spans="2:6" x14ac:dyDescent="0.3">
      <c r="B12" s="11">
        <v>4</v>
      </c>
      <c r="C12" s="22">
        <f t="shared" ref="C12:C61" si="0">$C$6</f>
        <v>23789.930086358734</v>
      </c>
      <c r="D12" s="22">
        <f t="shared" ref="D12:D61" si="1">PPMT($C$4/12, B12, $C$5*12, -$C$3)</f>
        <v>11718.616669969868</v>
      </c>
      <c r="E12" s="22">
        <f t="shared" ref="E12:E61" si="2">IPMT($C$4/12, B12, $C$5*12, -$C$3)</f>
        <v>12071.313416388866</v>
      </c>
      <c r="F12" s="24">
        <f t="shared" ref="F12:F61" si="3">F11 - D12</f>
        <v>953986.45664113958</v>
      </c>
    </row>
    <row r="13" spans="2:6" x14ac:dyDescent="0.3">
      <c r="B13" s="11">
        <v>5</v>
      </c>
      <c r="C13" s="22">
        <f t="shared" si="0"/>
        <v>23789.930086358734</v>
      </c>
      <c r="D13" s="22">
        <f t="shared" si="1"/>
        <v>11865.099378344492</v>
      </c>
      <c r="E13" s="22">
        <f t="shared" si="2"/>
        <v>11924.830708014242</v>
      </c>
      <c r="F13" s="24">
        <f t="shared" si="3"/>
        <v>942121.35726279509</v>
      </c>
    </row>
    <row r="14" spans="2:6" x14ac:dyDescent="0.3">
      <c r="B14" s="11">
        <v>6</v>
      </c>
      <c r="C14" s="22">
        <f t="shared" si="0"/>
        <v>23789.930086358734</v>
      </c>
      <c r="D14" s="22">
        <f t="shared" si="1"/>
        <v>12013.413120573799</v>
      </c>
      <c r="E14" s="22">
        <f t="shared" si="2"/>
        <v>11776.516965784938</v>
      </c>
      <c r="F14" s="24">
        <f t="shared" si="3"/>
        <v>930107.94414222124</v>
      </c>
    </row>
    <row r="15" spans="2:6" x14ac:dyDescent="0.3">
      <c r="B15" s="11">
        <v>7</v>
      </c>
      <c r="C15" s="22">
        <f t="shared" si="0"/>
        <v>23789.930086358734</v>
      </c>
      <c r="D15" s="22">
        <f t="shared" si="1"/>
        <v>12163.580784580969</v>
      </c>
      <c r="E15" s="22">
        <f t="shared" si="2"/>
        <v>11626.349301777762</v>
      </c>
      <c r="F15" s="24">
        <f t="shared" si="3"/>
        <v>917944.36335764022</v>
      </c>
    </row>
    <row r="16" spans="2:6" x14ac:dyDescent="0.3">
      <c r="B16" s="11">
        <v>8</v>
      </c>
      <c r="C16" s="22">
        <f t="shared" si="0"/>
        <v>23789.930086358734</v>
      </c>
      <c r="D16" s="22">
        <f t="shared" si="1"/>
        <v>12315.625544388233</v>
      </c>
      <c r="E16" s="22">
        <f t="shared" si="2"/>
        <v>11474.304541970501</v>
      </c>
      <c r="F16" s="24">
        <f t="shared" si="3"/>
        <v>905628.73781325202</v>
      </c>
    </row>
    <row r="17" spans="2:6" x14ac:dyDescent="0.3">
      <c r="B17" s="11">
        <v>9</v>
      </c>
      <c r="C17" s="22">
        <f t="shared" si="0"/>
        <v>23789.930086358734</v>
      </c>
      <c r="D17" s="22">
        <f t="shared" si="1"/>
        <v>12469.570863693085</v>
      </c>
      <c r="E17" s="22">
        <f t="shared" si="2"/>
        <v>11320.359222665651</v>
      </c>
      <c r="F17" s="24">
        <f t="shared" si="3"/>
        <v>893159.16694955889</v>
      </c>
    </row>
    <row r="18" spans="2:6" x14ac:dyDescent="0.3">
      <c r="B18" s="11">
        <v>10</v>
      </c>
      <c r="C18" s="22">
        <f t="shared" si="0"/>
        <v>23789.930086358734</v>
      </c>
      <c r="D18" s="22">
        <f t="shared" si="1"/>
        <v>12625.440499489247</v>
      </c>
      <c r="E18" s="22">
        <f t="shared" si="2"/>
        <v>11164.489586869486</v>
      </c>
      <c r="F18" s="24">
        <f t="shared" si="3"/>
        <v>880533.72645006969</v>
      </c>
    </row>
    <row r="19" spans="2:6" x14ac:dyDescent="0.3">
      <c r="B19" s="11">
        <v>11</v>
      </c>
      <c r="C19" s="22">
        <f t="shared" si="0"/>
        <v>23789.930086358734</v>
      </c>
      <c r="D19" s="22">
        <f t="shared" si="1"/>
        <v>12783.258505732865</v>
      </c>
      <c r="E19" s="22">
        <f t="shared" si="2"/>
        <v>11006.671580625871</v>
      </c>
      <c r="F19" s="24">
        <f t="shared" si="3"/>
        <v>867750.46794433682</v>
      </c>
    </row>
    <row r="20" spans="2:6" x14ac:dyDescent="0.3">
      <c r="B20" s="11">
        <v>12</v>
      </c>
      <c r="C20" s="22">
        <f t="shared" si="0"/>
        <v>23789.930086358734</v>
      </c>
      <c r="D20" s="22">
        <f t="shared" si="1"/>
        <v>12943.049237054523</v>
      </c>
      <c r="E20" s="22">
        <f t="shared" si="2"/>
        <v>10846.880849304209</v>
      </c>
      <c r="F20" s="24">
        <f t="shared" si="3"/>
        <v>854807.41870728228</v>
      </c>
    </row>
    <row r="21" spans="2:6" x14ac:dyDescent="0.3">
      <c r="B21" s="11">
        <v>13</v>
      </c>
      <c r="C21" s="22">
        <f t="shared" si="0"/>
        <v>23789.930086358734</v>
      </c>
      <c r="D21" s="22">
        <f t="shared" si="1"/>
        <v>13104.837352517707</v>
      </c>
      <c r="E21" s="22">
        <f t="shared" si="2"/>
        <v>10685.092733841029</v>
      </c>
      <c r="F21" s="24">
        <f t="shared" si="3"/>
        <v>841702.58135476452</v>
      </c>
    </row>
    <row r="22" spans="2:6" x14ac:dyDescent="0.3">
      <c r="B22" s="11">
        <v>14</v>
      </c>
      <c r="C22" s="22">
        <f t="shared" si="0"/>
        <v>23789.930086358734</v>
      </c>
      <c r="D22" s="22">
        <f t="shared" si="1"/>
        <v>13268.647819424177</v>
      </c>
      <c r="E22" s="22">
        <f t="shared" si="2"/>
        <v>10521.282266934555</v>
      </c>
      <c r="F22" s="24">
        <f t="shared" si="3"/>
        <v>828433.93353534036</v>
      </c>
    </row>
    <row r="23" spans="2:6" x14ac:dyDescent="0.3">
      <c r="B23" s="11">
        <v>15</v>
      </c>
      <c r="C23" s="22">
        <f t="shared" si="0"/>
        <v>23789.930086358734</v>
      </c>
      <c r="D23" s="22">
        <f t="shared" si="1"/>
        <v>13434.505917166978</v>
      </c>
      <c r="E23" s="22">
        <f t="shared" si="2"/>
        <v>10355.424169191752</v>
      </c>
      <c r="F23" s="24">
        <f t="shared" si="3"/>
        <v>814999.42761817342</v>
      </c>
    </row>
    <row r="24" spans="2:6" x14ac:dyDescent="0.3">
      <c r="B24" s="11">
        <v>16</v>
      </c>
      <c r="C24" s="22">
        <f t="shared" si="0"/>
        <v>23789.930086358734</v>
      </c>
      <c r="D24" s="22">
        <f t="shared" si="1"/>
        <v>13602.437241131567</v>
      </c>
      <c r="E24" s="22">
        <f t="shared" si="2"/>
        <v>10187.492845227167</v>
      </c>
      <c r="F24" s="24">
        <f t="shared" si="3"/>
        <v>801396.99037704186</v>
      </c>
    </row>
    <row r="25" spans="2:6" x14ac:dyDescent="0.3">
      <c r="B25" s="11">
        <v>17</v>
      </c>
      <c r="C25" s="22">
        <f t="shared" si="0"/>
        <v>23789.930086358734</v>
      </c>
      <c r="D25" s="22">
        <f t="shared" si="1"/>
        <v>13772.46770664571</v>
      </c>
      <c r="E25" s="22">
        <f t="shared" si="2"/>
        <v>10017.462379713021</v>
      </c>
      <c r="F25" s="24">
        <f t="shared" si="3"/>
        <v>787624.52267039614</v>
      </c>
    </row>
    <row r="26" spans="2:6" x14ac:dyDescent="0.3">
      <c r="B26" s="11">
        <v>18</v>
      </c>
      <c r="C26" s="22">
        <f t="shared" si="0"/>
        <v>23789.930086358734</v>
      </c>
      <c r="D26" s="22">
        <f t="shared" si="1"/>
        <v>13944.623552978786</v>
      </c>
      <c r="E26" s="22">
        <f t="shared" si="2"/>
        <v>9845.3065333799514</v>
      </c>
      <c r="F26" s="24">
        <f t="shared" si="3"/>
        <v>773679.8991174174</v>
      </c>
    </row>
    <row r="27" spans="2:6" x14ac:dyDescent="0.3">
      <c r="B27" s="11">
        <v>19</v>
      </c>
      <c r="C27" s="22">
        <f t="shared" si="0"/>
        <v>23789.930086358734</v>
      </c>
      <c r="D27" s="22">
        <f t="shared" si="1"/>
        <v>14118.931347391017</v>
      </c>
      <c r="E27" s="22">
        <f t="shared" si="2"/>
        <v>9670.9987389677135</v>
      </c>
      <c r="F27" s="24">
        <f t="shared" si="3"/>
        <v>759560.96777002641</v>
      </c>
    </row>
    <row r="28" spans="2:6" x14ac:dyDescent="0.3">
      <c r="B28" s="11">
        <v>20</v>
      </c>
      <c r="C28" s="22">
        <f t="shared" si="0"/>
        <v>23789.930086358734</v>
      </c>
      <c r="D28" s="22">
        <f t="shared" si="1"/>
        <v>14295.417989233405</v>
      </c>
      <c r="E28" s="22">
        <f t="shared" si="2"/>
        <v>9494.5120971253273</v>
      </c>
      <c r="F28" s="24">
        <f t="shared" si="3"/>
        <v>745265.54978079302</v>
      </c>
    </row>
    <row r="29" spans="2:6" x14ac:dyDescent="0.3">
      <c r="B29" s="11">
        <v>21</v>
      </c>
      <c r="C29" s="22">
        <f t="shared" si="0"/>
        <v>23789.930086358734</v>
      </c>
      <c r="D29" s="22">
        <f t="shared" si="1"/>
        <v>14474.110714098824</v>
      </c>
      <c r="E29" s="22">
        <f t="shared" si="2"/>
        <v>9315.8193722599099</v>
      </c>
      <c r="F29" s="24">
        <f t="shared" si="3"/>
        <v>730791.43906669423</v>
      </c>
    </row>
    <row r="30" spans="2:6" x14ac:dyDescent="0.3">
      <c r="B30" s="11">
        <v>22</v>
      </c>
      <c r="C30" s="22">
        <f t="shared" si="0"/>
        <v>23789.930086358734</v>
      </c>
      <c r="D30" s="22">
        <f t="shared" si="1"/>
        <v>14655.037098025057</v>
      </c>
      <c r="E30" s="22">
        <f t="shared" si="2"/>
        <v>9134.892988333675</v>
      </c>
      <c r="F30" s="24">
        <f t="shared" si="3"/>
        <v>716136.40196866915</v>
      </c>
    </row>
    <row r="31" spans="2:6" x14ac:dyDescent="0.3">
      <c r="B31" s="11">
        <v>23</v>
      </c>
      <c r="C31" s="22">
        <f t="shared" si="0"/>
        <v>23789.930086358734</v>
      </c>
      <c r="D31" s="22">
        <f t="shared" si="1"/>
        <v>14838.225061750372</v>
      </c>
      <c r="E31" s="22">
        <f t="shared" si="2"/>
        <v>8951.7050246083618</v>
      </c>
      <c r="F31" s="24">
        <f t="shared" si="3"/>
        <v>701298.17690691876</v>
      </c>
    </row>
    <row r="32" spans="2:6" x14ac:dyDescent="0.3">
      <c r="B32" s="11">
        <v>24</v>
      </c>
      <c r="C32" s="22">
        <f t="shared" si="0"/>
        <v>23789.930086358734</v>
      </c>
      <c r="D32" s="22">
        <f t="shared" si="1"/>
        <v>15023.702875022251</v>
      </c>
      <c r="E32" s="22">
        <f t="shared" si="2"/>
        <v>8766.2272113364816</v>
      </c>
      <c r="F32" s="24">
        <f t="shared" si="3"/>
        <v>686274.47403189656</v>
      </c>
    </row>
    <row r="33" spans="2:6" x14ac:dyDescent="0.3">
      <c r="B33" s="11">
        <v>25</v>
      </c>
      <c r="C33" s="22">
        <f t="shared" si="0"/>
        <v>23789.930086358734</v>
      </c>
      <c r="D33" s="22">
        <f t="shared" si="1"/>
        <v>15211.499160960031</v>
      </c>
      <c r="E33" s="22">
        <f t="shared" si="2"/>
        <v>8578.4309253987049</v>
      </c>
      <c r="F33" s="24">
        <f t="shared" si="3"/>
        <v>671062.97487093648</v>
      </c>
    </row>
    <row r="34" spans="2:6" x14ac:dyDescent="0.3">
      <c r="B34" s="11">
        <v>26</v>
      </c>
      <c r="C34" s="22">
        <f t="shared" si="0"/>
        <v>23789.930086358734</v>
      </c>
      <c r="D34" s="22">
        <f t="shared" si="1"/>
        <v>15401.64290047203</v>
      </c>
      <c r="E34" s="22">
        <f t="shared" si="2"/>
        <v>8388.2871858867038</v>
      </c>
      <c r="F34" s="24">
        <f t="shared" si="3"/>
        <v>655661.33197046444</v>
      </c>
    </row>
    <row r="35" spans="2:6" x14ac:dyDescent="0.3">
      <c r="B35" s="11">
        <v>27</v>
      </c>
      <c r="C35" s="22">
        <f t="shared" si="0"/>
        <v>23789.930086358734</v>
      </c>
      <c r="D35" s="22">
        <f t="shared" si="1"/>
        <v>15594.163436727929</v>
      </c>
      <c r="E35" s="22">
        <f t="shared" si="2"/>
        <v>8195.7666496308029</v>
      </c>
      <c r="F35" s="24">
        <f t="shared" si="3"/>
        <v>640067.16853373649</v>
      </c>
    </row>
    <row r="36" spans="2:6" x14ac:dyDescent="0.3">
      <c r="B36" s="11">
        <v>28</v>
      </c>
      <c r="C36" s="22">
        <f t="shared" si="0"/>
        <v>23789.930086358734</v>
      </c>
      <c r="D36" s="22">
        <f t="shared" si="1"/>
        <v>15789.090479687027</v>
      </c>
      <c r="E36" s="22">
        <f t="shared" si="2"/>
        <v>8000.8396066717041</v>
      </c>
      <c r="F36" s="24">
        <f t="shared" si="3"/>
        <v>624278.07805404952</v>
      </c>
    </row>
    <row r="37" spans="2:6" x14ac:dyDescent="0.3">
      <c r="B37" s="11">
        <v>29</v>
      </c>
      <c r="C37" s="22">
        <f t="shared" si="0"/>
        <v>23789.930086358734</v>
      </c>
      <c r="D37" s="22">
        <f t="shared" si="1"/>
        <v>15986.454110683115</v>
      </c>
      <c r="E37" s="22">
        <f t="shared" si="2"/>
        <v>7803.4759756756166</v>
      </c>
      <c r="F37" s="24">
        <f t="shared" si="3"/>
        <v>608291.62394336646</v>
      </c>
    </row>
    <row r="38" spans="2:6" x14ac:dyDescent="0.3">
      <c r="B38" s="11">
        <v>30</v>
      </c>
      <c r="C38" s="22">
        <f t="shared" si="0"/>
        <v>23789.930086358734</v>
      </c>
      <c r="D38" s="22">
        <f t="shared" si="1"/>
        <v>16186.284787066656</v>
      </c>
      <c r="E38" s="22">
        <f t="shared" si="2"/>
        <v>7603.6452992920786</v>
      </c>
      <c r="F38" s="24">
        <f t="shared" si="3"/>
        <v>592105.33915629983</v>
      </c>
    </row>
    <row r="39" spans="2:6" x14ac:dyDescent="0.3">
      <c r="B39" s="11">
        <v>31</v>
      </c>
      <c r="C39" s="22">
        <f t="shared" si="0"/>
        <v>23789.930086358734</v>
      </c>
      <c r="D39" s="22">
        <f t="shared" si="1"/>
        <v>16388.613346904989</v>
      </c>
      <c r="E39" s="22">
        <f t="shared" si="2"/>
        <v>7401.3167394537459</v>
      </c>
      <c r="F39" s="24">
        <f t="shared" si="3"/>
        <v>575716.72580939485</v>
      </c>
    </row>
    <row r="40" spans="2:6" x14ac:dyDescent="0.3">
      <c r="B40" s="11">
        <v>32</v>
      </c>
      <c r="C40" s="22">
        <f t="shared" si="0"/>
        <v>23789.930086358734</v>
      </c>
      <c r="D40" s="22">
        <f t="shared" si="1"/>
        <v>16593.471013741299</v>
      </c>
      <c r="E40" s="22">
        <f t="shared" si="2"/>
        <v>7196.459072617432</v>
      </c>
      <c r="F40" s="24">
        <f t="shared" si="3"/>
        <v>559123.25479565351</v>
      </c>
    </row>
    <row r="41" spans="2:6" x14ac:dyDescent="0.3">
      <c r="B41" s="11">
        <v>33</v>
      </c>
      <c r="C41" s="22">
        <f t="shared" si="0"/>
        <v>23789.930086358734</v>
      </c>
      <c r="D41" s="22">
        <f t="shared" si="1"/>
        <v>16800.889401413064</v>
      </c>
      <c r="E41" s="22">
        <f t="shared" si="2"/>
        <v>6989.0406849456667</v>
      </c>
      <c r="F41" s="24">
        <f t="shared" si="3"/>
        <v>542322.36539424048</v>
      </c>
    </row>
    <row r="42" spans="2:6" x14ac:dyDescent="0.3">
      <c r="B42" s="11">
        <v>34</v>
      </c>
      <c r="C42" s="22">
        <f t="shared" si="0"/>
        <v>23789.930086358734</v>
      </c>
      <c r="D42" s="22">
        <f t="shared" si="1"/>
        <v>17010.900518930728</v>
      </c>
      <c r="E42" s="22">
        <f t="shared" si="2"/>
        <v>6779.0295674280023</v>
      </c>
      <c r="F42" s="24">
        <f t="shared" si="3"/>
        <v>525311.46487530973</v>
      </c>
    </row>
    <row r="43" spans="2:6" x14ac:dyDescent="0.3">
      <c r="B43" s="11">
        <v>35</v>
      </c>
      <c r="C43" s="22">
        <f t="shared" si="0"/>
        <v>23789.930086358734</v>
      </c>
      <c r="D43" s="22">
        <f t="shared" si="1"/>
        <v>17223.536775417364</v>
      </c>
      <c r="E43" s="22">
        <f t="shared" si="2"/>
        <v>6566.3933109413692</v>
      </c>
      <c r="F43" s="24">
        <f t="shared" si="3"/>
        <v>508087.92809989234</v>
      </c>
    </row>
    <row r="44" spans="2:6" x14ac:dyDescent="0.3">
      <c r="B44" s="11">
        <v>36</v>
      </c>
      <c r="C44" s="22">
        <f t="shared" si="0"/>
        <v>23789.930086358734</v>
      </c>
      <c r="D44" s="22">
        <f t="shared" si="1"/>
        <v>17438.830985110078</v>
      </c>
      <c r="E44" s="22">
        <f t="shared" si="2"/>
        <v>6351.0991012486538</v>
      </c>
      <c r="F44" s="24">
        <f t="shared" si="3"/>
        <v>490649.09711478226</v>
      </c>
    </row>
    <row r="45" spans="2:6" x14ac:dyDescent="0.3">
      <c r="B45" s="11">
        <v>37</v>
      </c>
      <c r="C45" s="22">
        <f t="shared" si="0"/>
        <v>23789.930086358734</v>
      </c>
      <c r="D45" s="22">
        <f t="shared" si="1"/>
        <v>17656.816372423957</v>
      </c>
      <c r="E45" s="22">
        <f t="shared" si="2"/>
        <v>6133.1137139347766</v>
      </c>
      <c r="F45" s="24">
        <f t="shared" si="3"/>
        <v>472992.2807423583</v>
      </c>
    </row>
    <row r="46" spans="2:6" x14ac:dyDescent="0.3">
      <c r="B46" s="11">
        <v>38</v>
      </c>
      <c r="C46" s="22">
        <f t="shared" si="0"/>
        <v>23789.930086358734</v>
      </c>
      <c r="D46" s="22">
        <f t="shared" si="1"/>
        <v>17877.526577079258</v>
      </c>
      <c r="E46" s="22">
        <f t="shared" si="2"/>
        <v>5912.4035092794757</v>
      </c>
      <c r="F46" s="24">
        <f t="shared" si="3"/>
        <v>455114.75416527904</v>
      </c>
    </row>
    <row r="47" spans="2:6" x14ac:dyDescent="0.3">
      <c r="B47" s="11">
        <v>39</v>
      </c>
      <c r="C47" s="22">
        <f t="shared" si="0"/>
        <v>23789.930086358734</v>
      </c>
      <c r="D47" s="22">
        <f t="shared" si="1"/>
        <v>18100.995659292748</v>
      </c>
      <c r="E47" s="22">
        <f t="shared" si="2"/>
        <v>5688.9344270659858</v>
      </c>
      <c r="F47" s="24">
        <f t="shared" si="3"/>
        <v>437013.7585059863</v>
      </c>
    </row>
    <row r="48" spans="2:6" x14ac:dyDescent="0.3">
      <c r="B48" s="11">
        <v>40</v>
      </c>
      <c r="C48" s="22">
        <f t="shared" si="0"/>
        <v>23789.930086358734</v>
      </c>
      <c r="D48" s="22">
        <f t="shared" si="1"/>
        <v>18327.258105033907</v>
      </c>
      <c r="E48" s="22">
        <f t="shared" si="2"/>
        <v>5462.6719813248274</v>
      </c>
      <c r="F48" s="24">
        <f t="shared" si="3"/>
        <v>418686.50040095241</v>
      </c>
    </row>
    <row r="49" spans="2:6" x14ac:dyDescent="0.3">
      <c r="B49" s="11">
        <v>41</v>
      </c>
      <c r="C49" s="22">
        <f t="shared" si="0"/>
        <v>23789.930086358734</v>
      </c>
      <c r="D49" s="22">
        <f t="shared" si="1"/>
        <v>18556.34883134683</v>
      </c>
      <c r="E49" s="22">
        <f t="shared" si="2"/>
        <v>5233.5812550119026</v>
      </c>
      <c r="F49" s="24">
        <f t="shared" si="3"/>
        <v>400130.15156960557</v>
      </c>
    </row>
    <row r="50" spans="2:6" x14ac:dyDescent="0.3">
      <c r="B50" s="11">
        <v>42</v>
      </c>
      <c r="C50" s="22">
        <f t="shared" si="0"/>
        <v>23789.930086358734</v>
      </c>
      <c r="D50" s="22">
        <f t="shared" si="1"/>
        <v>18788.303191738665</v>
      </c>
      <c r="E50" s="22">
        <f t="shared" si="2"/>
        <v>5001.626894620068</v>
      </c>
      <c r="F50" s="24">
        <f t="shared" si="3"/>
        <v>381341.8483778669</v>
      </c>
    </row>
    <row r="51" spans="2:6" x14ac:dyDescent="0.3">
      <c r="B51" s="11">
        <v>43</v>
      </c>
      <c r="C51" s="22">
        <f t="shared" si="0"/>
        <v>23789.930086358734</v>
      </c>
      <c r="D51" s="22">
        <f t="shared" si="1"/>
        <v>19023.156981635402</v>
      </c>
      <c r="E51" s="22">
        <f t="shared" si="2"/>
        <v>4766.7731047233347</v>
      </c>
      <c r="F51" s="24">
        <f t="shared" si="3"/>
        <v>362318.69139623153</v>
      </c>
    </row>
    <row r="52" spans="2:6" x14ac:dyDescent="0.3">
      <c r="B52" s="11">
        <v>44</v>
      </c>
      <c r="C52" s="22">
        <f t="shared" si="0"/>
        <v>23789.930086358734</v>
      </c>
      <c r="D52" s="22">
        <f t="shared" si="1"/>
        <v>19260.946443905839</v>
      </c>
      <c r="E52" s="22">
        <f t="shared" si="2"/>
        <v>4528.9836424528921</v>
      </c>
      <c r="F52" s="24">
        <f t="shared" si="3"/>
        <v>343057.74495232571</v>
      </c>
    </row>
    <row r="53" spans="2:6" x14ac:dyDescent="0.3">
      <c r="B53" s="11">
        <v>45</v>
      </c>
      <c r="C53" s="22">
        <f t="shared" si="0"/>
        <v>23789.930086358734</v>
      </c>
      <c r="D53" s="22">
        <f t="shared" si="1"/>
        <v>19501.708274454664</v>
      </c>
      <c r="E53" s="22">
        <f t="shared" si="2"/>
        <v>4288.2218119040699</v>
      </c>
      <c r="F53" s="24">
        <f t="shared" si="3"/>
        <v>323556.03667787102</v>
      </c>
    </row>
    <row r="54" spans="2:6" x14ac:dyDescent="0.3">
      <c r="B54" s="11">
        <v>46</v>
      </c>
      <c r="C54" s="22">
        <f t="shared" si="0"/>
        <v>23789.930086358734</v>
      </c>
      <c r="D54" s="22">
        <f t="shared" si="1"/>
        <v>19745.479627885346</v>
      </c>
      <c r="E54" s="22">
        <f t="shared" si="2"/>
        <v>4044.4504584733859</v>
      </c>
      <c r="F54" s="24">
        <f t="shared" si="3"/>
        <v>303810.55704998568</v>
      </c>
    </row>
    <row r="55" spans="2:6" x14ac:dyDescent="0.3">
      <c r="B55" s="11">
        <v>47</v>
      </c>
      <c r="C55" s="22">
        <f t="shared" si="0"/>
        <v>23789.930086358734</v>
      </c>
      <c r="D55" s="22">
        <f t="shared" si="1"/>
        <v>19992.298123233915</v>
      </c>
      <c r="E55" s="22">
        <f t="shared" si="2"/>
        <v>3797.6319631248193</v>
      </c>
      <c r="F55" s="24">
        <f t="shared" si="3"/>
        <v>283818.25892675179</v>
      </c>
    </row>
    <row r="56" spans="2:6" x14ac:dyDescent="0.3">
      <c r="B56" s="11">
        <v>48</v>
      </c>
      <c r="C56" s="22">
        <f t="shared" si="0"/>
        <v>23789.930086358734</v>
      </c>
      <c r="D56" s="22">
        <f t="shared" si="1"/>
        <v>20242.201849774337</v>
      </c>
      <c r="E56" s="22">
        <f t="shared" si="2"/>
        <v>3547.7282365843957</v>
      </c>
      <c r="F56" s="24">
        <f t="shared" si="3"/>
        <v>263576.05707697745</v>
      </c>
    </row>
    <row r="57" spans="2:6" x14ac:dyDescent="0.3">
      <c r="B57" s="11">
        <v>49</v>
      </c>
      <c r="C57" s="22">
        <f t="shared" si="0"/>
        <v>23789.930086358734</v>
      </c>
      <c r="D57" s="22">
        <f t="shared" si="1"/>
        <v>20495.229372896516</v>
      </c>
      <c r="E57" s="22">
        <f t="shared" si="2"/>
        <v>3294.7007134622163</v>
      </c>
      <c r="F57" s="24">
        <f t="shared" si="3"/>
        <v>243080.82770408093</v>
      </c>
    </row>
    <row r="58" spans="2:6" x14ac:dyDescent="0.3">
      <c r="B58" s="11">
        <v>50</v>
      </c>
      <c r="C58" s="22">
        <f t="shared" si="0"/>
        <v>23789.930086358734</v>
      </c>
      <c r="D58" s="22">
        <f t="shared" si="1"/>
        <v>20751.419740057725</v>
      </c>
      <c r="E58" s="22">
        <f t="shared" si="2"/>
        <v>3038.51034630101</v>
      </c>
      <c r="F58" s="24">
        <f t="shared" si="3"/>
        <v>222329.40796402321</v>
      </c>
    </row>
    <row r="59" spans="2:6" x14ac:dyDescent="0.3">
      <c r="B59" s="11">
        <v>51</v>
      </c>
      <c r="C59" s="22">
        <f t="shared" si="0"/>
        <v>23789.930086358734</v>
      </c>
      <c r="D59" s="22">
        <f t="shared" si="1"/>
        <v>21010.812486808445</v>
      </c>
      <c r="E59" s="22">
        <f t="shared" si="2"/>
        <v>2779.1175995502881</v>
      </c>
      <c r="F59" s="24">
        <f t="shared" si="3"/>
        <v>201318.59547721475</v>
      </c>
    </row>
    <row r="60" spans="2:6" x14ac:dyDescent="0.3">
      <c r="B60" s="11">
        <v>52</v>
      </c>
      <c r="C60" s="22">
        <f t="shared" si="0"/>
        <v>23789.930086358734</v>
      </c>
      <c r="D60" s="22">
        <f t="shared" si="1"/>
        <v>21273.447642893552</v>
      </c>
      <c r="E60" s="22">
        <f t="shared" si="2"/>
        <v>2516.4824434651828</v>
      </c>
      <c r="F60" s="24">
        <f t="shared" si="3"/>
        <v>180045.14783432119</v>
      </c>
    </row>
    <row r="61" spans="2:6" x14ac:dyDescent="0.3">
      <c r="B61" s="11">
        <v>53</v>
      </c>
      <c r="C61" s="22">
        <f t="shared" si="0"/>
        <v>23789.930086358734</v>
      </c>
      <c r="D61" s="22">
        <f t="shared" si="1"/>
        <v>21539.365738429722</v>
      </c>
      <c r="E61" s="22">
        <f t="shared" si="2"/>
        <v>2250.5643479290138</v>
      </c>
      <c r="F61" s="24">
        <f t="shared" si="3"/>
        <v>158505.78209589148</v>
      </c>
    </row>
    <row r="62" spans="2:6" x14ac:dyDescent="0.3">
      <c r="B62" s="11">
        <v>54</v>
      </c>
      <c r="C62" s="22">
        <f>$C$6</f>
        <v>23789.930086358734</v>
      </c>
      <c r="D62" s="22">
        <f>PPMT($C$4/12, B62, $C$5*12, -$C$3)</f>
        <v>21808.607810160094</v>
      </c>
      <c r="E62" s="22">
        <f>IPMT($C$4/12, B62, $C$5*12, -$C$3)</f>
        <v>1981.3222761986422</v>
      </c>
      <c r="F62" s="24">
        <f>F61 - D62</f>
        <v>136697.17428573139</v>
      </c>
    </row>
    <row r="63" spans="2:6" x14ac:dyDescent="0.3">
      <c r="B63" s="11">
        <v>55</v>
      </c>
      <c r="C63" s="22">
        <f>$C$6</f>
        <v>23789.930086358734</v>
      </c>
      <c r="D63" s="22">
        <f>PPMT($C$4/12, B63, $C$5*12, -$C$3)</f>
        <v>22081.215407787091</v>
      </c>
      <c r="E63" s="22">
        <f>IPMT($C$4/12, B63, $C$5*12, -$C$3)</f>
        <v>1708.7146785716411</v>
      </c>
      <c r="F63" s="24">
        <f>F62 - D63</f>
        <v>114615.9588779443</v>
      </c>
    </row>
    <row r="64" spans="2:6" x14ac:dyDescent="0.3">
      <c r="B64" s="11">
        <v>56</v>
      </c>
      <c r="C64" s="22">
        <f t="shared" ref="C64:C68" si="4">$C$6</f>
        <v>23789.930086358734</v>
      </c>
      <c r="D64" s="22">
        <f t="shared" ref="D64:D68" si="5">PPMT($C$4/12, B64, $C$5*12, -$C$3)</f>
        <v>22357.230600384428</v>
      </c>
      <c r="E64" s="22">
        <f t="shared" ref="E64:E68" si="6">IPMT($C$4/12, B64, $C$5*12, -$C$3)</f>
        <v>1432.6994859743022</v>
      </c>
      <c r="F64" s="24">
        <f t="shared" ref="F64:F68" si="7">F63 - D64</f>
        <v>92258.728277559872</v>
      </c>
    </row>
    <row r="65" spans="2:6" x14ac:dyDescent="0.3">
      <c r="B65" s="11">
        <v>57</v>
      </c>
      <c r="C65" s="22">
        <f t="shared" si="4"/>
        <v>23789.930086358734</v>
      </c>
      <c r="D65" s="22">
        <f t="shared" si="5"/>
        <v>22636.695982889236</v>
      </c>
      <c r="E65" s="22">
        <f t="shared" si="6"/>
        <v>1153.2341034694971</v>
      </c>
      <c r="F65" s="24">
        <f t="shared" si="7"/>
        <v>69622.032294670644</v>
      </c>
    </row>
    <row r="66" spans="2:6" x14ac:dyDescent="0.3">
      <c r="B66" s="11">
        <v>58</v>
      </c>
      <c r="C66" s="22">
        <f t="shared" si="4"/>
        <v>23789.930086358734</v>
      </c>
      <c r="D66" s="22">
        <f t="shared" si="5"/>
        <v>22919.654682675351</v>
      </c>
      <c r="E66" s="22">
        <f t="shared" si="6"/>
        <v>870.27540368338168</v>
      </c>
      <c r="F66" s="24">
        <f t="shared" si="7"/>
        <v>46702.377611995296</v>
      </c>
    </row>
    <row r="67" spans="2:6" x14ac:dyDescent="0.3">
      <c r="B67" s="11">
        <v>59</v>
      </c>
      <c r="C67" s="22">
        <f t="shared" si="4"/>
        <v>23789.930086358734</v>
      </c>
      <c r="D67" s="22">
        <f t="shared" si="5"/>
        <v>23206.150366208793</v>
      </c>
      <c r="E67" s="22">
        <f t="shared" si="6"/>
        <v>583.77972014993986</v>
      </c>
      <c r="F67" s="24">
        <f t="shared" si="7"/>
        <v>23496.227245786504</v>
      </c>
    </row>
    <row r="68" spans="2:6" ht="15" thickBot="1" x14ac:dyDescent="0.35">
      <c r="B68" s="12">
        <v>60</v>
      </c>
      <c r="C68" s="26">
        <f t="shared" si="4"/>
        <v>23789.930086358734</v>
      </c>
      <c r="D68" s="26">
        <f t="shared" si="5"/>
        <v>23496.227245786406</v>
      </c>
      <c r="E68" s="26">
        <f t="shared" si="6"/>
        <v>293.70284057232999</v>
      </c>
      <c r="F68" s="27">
        <f t="shared" si="7"/>
        <v>9.822542779147625E-11</v>
      </c>
    </row>
    <row r="69" spans="2:6" x14ac:dyDescent="0.3">
      <c r="C69" s="65"/>
      <c r="D69" s="65"/>
      <c r="E69" s="65"/>
      <c r="F69" s="65"/>
    </row>
    <row r="70" spans="2:6" x14ac:dyDescent="0.3">
      <c r="C70" s="65"/>
      <c r="D70" s="65"/>
      <c r="E70" s="65"/>
      <c r="F70" s="65"/>
    </row>
    <row r="71" spans="2:6" x14ac:dyDescent="0.3">
      <c r="C71" s="65"/>
      <c r="D71" s="65"/>
      <c r="E71" s="65"/>
      <c r="F71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53FA-2FE9-43E3-9A9E-6B889F038374}">
  <dimension ref="B1:E10"/>
  <sheetViews>
    <sheetView zoomScale="82" workbookViewId="0">
      <selection activeCell="B10" sqref="B10"/>
    </sheetView>
  </sheetViews>
  <sheetFormatPr defaultRowHeight="14.4" x14ac:dyDescent="0.3"/>
  <cols>
    <col min="2" max="2" width="31.21875" customWidth="1"/>
    <col min="3" max="3" width="13.5546875" customWidth="1"/>
    <col min="4" max="4" width="25.21875" customWidth="1"/>
    <col min="5" max="5" width="24.33203125" customWidth="1"/>
  </cols>
  <sheetData>
    <row r="1" spans="2:5" ht="15" thickBot="1" x14ac:dyDescent="0.35"/>
    <row r="2" spans="2:5" x14ac:dyDescent="0.3">
      <c r="B2" s="79" t="s">
        <v>58</v>
      </c>
      <c r="C2" s="80" t="s">
        <v>70</v>
      </c>
      <c r="D2" s="80" t="s">
        <v>71</v>
      </c>
      <c r="E2" s="81" t="s">
        <v>72</v>
      </c>
    </row>
    <row r="3" spans="2:5" x14ac:dyDescent="0.3">
      <c r="B3" s="11" t="s">
        <v>73</v>
      </c>
      <c r="C3" s="8">
        <v>300000</v>
      </c>
      <c r="D3" s="8">
        <v>300000</v>
      </c>
      <c r="E3" s="52">
        <v>300000</v>
      </c>
    </row>
    <row r="4" spans="2:5" x14ac:dyDescent="0.3">
      <c r="B4" s="11" t="s">
        <v>10</v>
      </c>
      <c r="C4" s="8">
        <v>30000</v>
      </c>
      <c r="D4" s="8"/>
      <c r="E4" s="52"/>
    </row>
    <row r="5" spans="2:5" x14ac:dyDescent="0.3">
      <c r="B5" s="11" t="s">
        <v>74</v>
      </c>
      <c r="C5" s="8">
        <v>5</v>
      </c>
      <c r="D5" s="8"/>
      <c r="E5" s="52"/>
    </row>
    <row r="6" spans="2:5" x14ac:dyDescent="0.3">
      <c r="B6" s="87">
        <v>1</v>
      </c>
      <c r="C6" s="86">
        <f>SLN($C$3, $C$4, $C$5)</f>
        <v>54000</v>
      </c>
      <c r="D6" s="86">
        <f>D3-C6</f>
        <v>246000</v>
      </c>
      <c r="E6" s="88">
        <f>DDB($C$3, $C$4, $C$5, B6)</f>
        <v>120000</v>
      </c>
    </row>
    <row r="7" spans="2:5" x14ac:dyDescent="0.3">
      <c r="B7" s="11">
        <v>2</v>
      </c>
      <c r="C7" s="86">
        <f>$C$6</f>
        <v>54000</v>
      </c>
      <c r="D7" s="86">
        <f>D6 - C7</f>
        <v>192000</v>
      </c>
      <c r="E7" s="88">
        <f t="shared" ref="E7:E10" si="0">DDB($C$3, $C$4, $C$5, B7)</f>
        <v>72000</v>
      </c>
    </row>
    <row r="8" spans="2:5" x14ac:dyDescent="0.3">
      <c r="B8" s="11">
        <v>3</v>
      </c>
      <c r="C8" s="86">
        <f>$C$6</f>
        <v>54000</v>
      </c>
      <c r="D8" s="86">
        <f>D7 - C8</f>
        <v>138000</v>
      </c>
      <c r="E8" s="88">
        <f>DDB($E$3, $C$4, $C$5, B8)</f>
        <v>43200</v>
      </c>
    </row>
    <row r="9" spans="2:5" x14ac:dyDescent="0.3">
      <c r="B9" s="11">
        <v>4</v>
      </c>
      <c r="C9" s="86">
        <f t="shared" ref="C9:C10" si="1">$C$6</f>
        <v>54000</v>
      </c>
      <c r="D9" s="86">
        <f>D8 - C9</f>
        <v>84000</v>
      </c>
      <c r="E9" s="88">
        <f>DDB($E$3, $C$4, $C$5, B9)</f>
        <v>25920</v>
      </c>
    </row>
    <row r="10" spans="2:5" ht="15" thickBot="1" x14ac:dyDescent="0.35">
      <c r="B10" s="12">
        <v>5</v>
      </c>
      <c r="C10" s="89">
        <f t="shared" ref="C10" si="2">SLN($C$3, $C$4, $C$5)</f>
        <v>54000</v>
      </c>
      <c r="D10" s="89">
        <f>D9 - C10</f>
        <v>30000</v>
      </c>
      <c r="E10" s="90">
        <f>DDB($C$3, $C$4, $C$5, B10)</f>
        <v>8880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99B5-9DAC-452C-A3A0-3E74D9AA746F}">
  <dimension ref="B1:J231"/>
  <sheetViews>
    <sheetView tabSelected="1" topLeftCell="A21" zoomScale="70" zoomScaleNormal="70" workbookViewId="0">
      <selection activeCell="C53" sqref="C53"/>
    </sheetView>
  </sheetViews>
  <sheetFormatPr defaultRowHeight="14.4" x14ac:dyDescent="0.3"/>
  <cols>
    <col min="1" max="1" width="8.88671875" style="13"/>
    <col min="2" max="8" width="25.109375" style="13" customWidth="1"/>
    <col min="9" max="10" width="11.6640625" style="13" customWidth="1"/>
    <col min="11" max="16384" width="8.88671875" style="13"/>
  </cols>
  <sheetData>
    <row r="1" spans="2:6" ht="15" thickBot="1" x14ac:dyDescent="0.35"/>
    <row r="2" spans="2:6" ht="13.8" customHeight="1" x14ac:dyDescent="0.3">
      <c r="B2" s="91" t="s">
        <v>0</v>
      </c>
      <c r="C2" s="92" t="s">
        <v>1</v>
      </c>
      <c r="D2" s="92" t="s">
        <v>2</v>
      </c>
      <c r="E2" s="93" t="s">
        <v>3</v>
      </c>
      <c r="F2"/>
    </row>
    <row r="3" spans="2:6" ht="13.8" customHeight="1" x14ac:dyDescent="0.3">
      <c r="B3" s="4" t="s">
        <v>4</v>
      </c>
      <c r="C3" s="14">
        <v>-1500000</v>
      </c>
      <c r="D3" s="14">
        <v>-2000000</v>
      </c>
      <c r="E3" s="15">
        <v>-1800000</v>
      </c>
      <c r="F3"/>
    </row>
    <row r="4" spans="2:6" ht="13.8" customHeight="1" x14ac:dyDescent="0.3">
      <c r="B4" s="4" t="s">
        <v>5</v>
      </c>
      <c r="C4" s="14">
        <v>400000</v>
      </c>
      <c r="D4" s="14">
        <v>600000</v>
      </c>
      <c r="E4" s="15">
        <v>300000</v>
      </c>
      <c r="F4"/>
    </row>
    <row r="5" spans="2:6" ht="13.8" customHeight="1" x14ac:dyDescent="0.3">
      <c r="B5" s="4" t="s">
        <v>6</v>
      </c>
      <c r="C5" s="14">
        <v>450000</v>
      </c>
      <c r="D5" s="14">
        <v>650000</v>
      </c>
      <c r="E5" s="15">
        <v>450000</v>
      </c>
      <c r="F5"/>
    </row>
    <row r="6" spans="2:6" ht="13.8" customHeight="1" x14ac:dyDescent="0.3">
      <c r="B6" s="4" t="s">
        <v>7</v>
      </c>
      <c r="C6" s="14">
        <v>500000</v>
      </c>
      <c r="D6" s="14">
        <v>700000</v>
      </c>
      <c r="E6" s="15">
        <v>550000</v>
      </c>
      <c r="F6"/>
    </row>
    <row r="7" spans="2:6" ht="13.8" customHeight="1" x14ac:dyDescent="0.3">
      <c r="B7" s="4" t="s">
        <v>8</v>
      </c>
      <c r="C7" s="14">
        <v>550000</v>
      </c>
      <c r="D7" s="14">
        <v>750000</v>
      </c>
      <c r="E7" s="15">
        <v>650000</v>
      </c>
      <c r="F7"/>
    </row>
    <row r="8" spans="2:6" ht="13.8" customHeight="1" x14ac:dyDescent="0.3">
      <c r="B8" s="4" t="s">
        <v>9</v>
      </c>
      <c r="C8" s="14">
        <v>600000</v>
      </c>
      <c r="D8" s="14">
        <v>800000</v>
      </c>
      <c r="E8" s="15">
        <v>750000</v>
      </c>
      <c r="F8"/>
    </row>
    <row r="9" spans="2:6" ht="13.8" customHeight="1" x14ac:dyDescent="0.3">
      <c r="B9" s="4" t="s">
        <v>10</v>
      </c>
      <c r="C9" s="14">
        <v>100000</v>
      </c>
      <c r="D9" s="14">
        <v>150000</v>
      </c>
      <c r="E9" s="15">
        <v>200000</v>
      </c>
      <c r="F9"/>
    </row>
    <row r="10" spans="2:6" ht="13.8" customHeight="1" thickBot="1" x14ac:dyDescent="0.35">
      <c r="B10" s="5" t="s">
        <v>11</v>
      </c>
      <c r="C10" s="6">
        <v>0.12</v>
      </c>
      <c r="D10" s="6">
        <v>0.12</v>
      </c>
      <c r="E10" s="7">
        <v>0.12</v>
      </c>
      <c r="F10"/>
    </row>
    <row r="11" spans="2:6" ht="15" thickBot="1" x14ac:dyDescent="0.35">
      <c r="B11"/>
      <c r="C11"/>
      <c r="D11"/>
      <c r="E11"/>
      <c r="F11"/>
    </row>
    <row r="12" spans="2:6" x14ac:dyDescent="0.3">
      <c r="B12" s="79" t="s">
        <v>14</v>
      </c>
      <c r="C12" s="109">
        <f xml:space="preserve"> NPV(C10, C4:C9) + C3</f>
        <v>312424.39461907023</v>
      </c>
      <c r="D12" s="9">
        <f xml:space="preserve"> NPV(D10, D4:D9) + D3</f>
        <v>558711.19114693673</v>
      </c>
      <c r="E12" s="10">
        <f xml:space="preserve"> NPV(E10, E4:E9) + E3</f>
        <v>158056.64104003157</v>
      </c>
      <c r="F12"/>
    </row>
    <row r="13" spans="2:6" x14ac:dyDescent="0.3">
      <c r="B13" s="94" t="s">
        <v>15</v>
      </c>
      <c r="C13" s="21">
        <f>IRR(C3:C9)</f>
        <v>0.193117564122542</v>
      </c>
      <c r="D13" s="21">
        <f t="shared" ref="D13:E13" si="0">IRR(D3:D9)</f>
        <v>0.21871331300588981</v>
      </c>
      <c r="E13" s="61">
        <f t="shared" si="0"/>
        <v>0.14878528169434935</v>
      </c>
      <c r="F13"/>
    </row>
    <row r="14" spans="2:6" ht="15" thickBot="1" x14ac:dyDescent="0.35">
      <c r="B14" s="95" t="s">
        <v>12</v>
      </c>
      <c r="C14" s="19">
        <f>(NPV(C10, C4:C9) + ABS(C3)) / ABS(C3)</f>
        <v>2.2082829297460465</v>
      </c>
      <c r="D14" s="19">
        <f>(NPV(D10, D4:D9) + ABS(D3)) / ABS(D3)</f>
        <v>2.2793555955734681</v>
      </c>
      <c r="E14" s="62">
        <f t="shared" ref="E14" si="1">(NPV(E10, E4:E9) + ABS(E3)) / ABS(E3)</f>
        <v>2.0878092450222399</v>
      </c>
      <c r="F14"/>
    </row>
    <row r="15" spans="2:6" x14ac:dyDescent="0.3">
      <c r="B15"/>
      <c r="C15"/>
      <c r="D15"/>
      <c r="E15"/>
      <c r="F15"/>
    </row>
    <row r="16" spans="2:6" x14ac:dyDescent="0.3">
      <c r="B16"/>
      <c r="C16"/>
      <c r="D16"/>
      <c r="E16"/>
      <c r="F16"/>
    </row>
    <row r="17" spans="2:8" x14ac:dyDescent="0.3">
      <c r="B17"/>
      <c r="C17"/>
      <c r="D17"/>
      <c r="E17"/>
      <c r="F17" s="1"/>
    </row>
    <row r="18" spans="2:8" x14ac:dyDescent="0.3">
      <c r="B18"/>
      <c r="C18"/>
      <c r="D18"/>
      <c r="E18"/>
      <c r="F18" s="1"/>
    </row>
    <row r="19" spans="2:8" x14ac:dyDescent="0.3">
      <c r="B19"/>
      <c r="C19"/>
      <c r="D19"/>
      <c r="E19"/>
      <c r="F19"/>
    </row>
    <row r="20" spans="2:8" ht="15" thickBot="1" x14ac:dyDescent="0.35">
      <c r="B20" s="64" t="s">
        <v>13</v>
      </c>
      <c r="C20" s="64"/>
      <c r="D20" s="64"/>
      <c r="E20"/>
      <c r="F20"/>
    </row>
    <row r="21" spans="2:8" x14ac:dyDescent="0.3">
      <c r="B21" s="79" t="s">
        <v>16</v>
      </c>
      <c r="C21" s="80" t="s">
        <v>52</v>
      </c>
      <c r="D21" s="81" t="s">
        <v>53</v>
      </c>
      <c r="E21" s="80" t="s">
        <v>54</v>
      </c>
      <c r="F21" s="81" t="s">
        <v>55</v>
      </c>
      <c r="G21" s="80" t="s">
        <v>56</v>
      </c>
      <c r="H21" s="81" t="s">
        <v>57</v>
      </c>
    </row>
    <row r="22" spans="2:8" x14ac:dyDescent="0.3">
      <c r="B22" s="11">
        <v>0</v>
      </c>
      <c r="C22" s="16">
        <f>C3</f>
        <v>-1500000</v>
      </c>
      <c r="D22" s="18">
        <f>C22</f>
        <v>-1500000</v>
      </c>
      <c r="E22" s="16">
        <f>E3</f>
        <v>-1800000</v>
      </c>
      <c r="F22" s="18">
        <f>E22</f>
        <v>-1800000</v>
      </c>
      <c r="G22" s="16">
        <f>E3</f>
        <v>-1800000</v>
      </c>
      <c r="H22" s="18">
        <f>G22</f>
        <v>-1800000</v>
      </c>
    </row>
    <row r="23" spans="2:8" x14ac:dyDescent="0.3">
      <c r="B23" s="11">
        <v>1</v>
      </c>
      <c r="C23" s="8">
        <f>C4/(1+0.12)^B23</f>
        <v>357142.8571428571</v>
      </c>
      <c r="D23" s="18">
        <f t="shared" ref="D23:D28" si="2">D22+C23</f>
        <v>-1142857.142857143</v>
      </c>
      <c r="E23" s="8">
        <f>D4/(1+0.12)^$B23</f>
        <v>535714.28571428568</v>
      </c>
      <c r="F23" s="18">
        <f>F22+E23</f>
        <v>-1264285.7142857143</v>
      </c>
      <c r="G23" s="8">
        <f>E4/(1+0.12)^$B23</f>
        <v>267857.14285714284</v>
      </c>
      <c r="H23" s="18">
        <f>H22+G23</f>
        <v>-1532142.8571428573</v>
      </c>
    </row>
    <row r="24" spans="2:8" x14ac:dyDescent="0.3">
      <c r="B24" s="11">
        <v>2</v>
      </c>
      <c r="C24" s="8">
        <f>C5/(1+0.12)^B24</f>
        <v>358737.24489795911</v>
      </c>
      <c r="D24" s="18">
        <f t="shared" si="2"/>
        <v>-784119.8979591839</v>
      </c>
      <c r="E24" s="8">
        <f t="shared" ref="E24:E28" si="3">D5/(1+0.12)^$B24</f>
        <v>518176.0204081632</v>
      </c>
      <c r="F24" s="18">
        <f t="shared" ref="F24:H28" si="4">F23+E24</f>
        <v>-746109.69387755112</v>
      </c>
      <c r="G24" s="8">
        <f t="shared" ref="G24:G28" si="5">E5/(1+0.12)^$B24</f>
        <v>358737.24489795911</v>
      </c>
      <c r="H24" s="18">
        <f t="shared" si="4"/>
        <v>-1173405.6122448982</v>
      </c>
    </row>
    <row r="25" spans="2:8" x14ac:dyDescent="0.3">
      <c r="B25" s="11">
        <v>3</v>
      </c>
      <c r="C25" s="8">
        <f>C6/(1+0.12)^B25</f>
        <v>355890.12390670541</v>
      </c>
      <c r="D25" s="18">
        <f t="shared" si="2"/>
        <v>-428229.77405247849</v>
      </c>
      <c r="E25" s="8">
        <f t="shared" si="3"/>
        <v>498246.17346938764</v>
      </c>
      <c r="F25" s="18">
        <f t="shared" si="4"/>
        <v>-247863.52040816349</v>
      </c>
      <c r="G25" s="8">
        <f t="shared" si="5"/>
        <v>391479.13629737595</v>
      </c>
      <c r="H25" s="18">
        <f t="shared" si="4"/>
        <v>-781926.47594752233</v>
      </c>
    </row>
    <row r="26" spans="2:8" x14ac:dyDescent="0.3">
      <c r="B26" s="11">
        <v>4</v>
      </c>
      <c r="C26" s="8">
        <f t="shared" ref="C23:C28" si="6">C7/(1+0.12)^B26</f>
        <v>349534.94312265713</v>
      </c>
      <c r="D26" s="18">
        <f t="shared" si="2"/>
        <v>-78694.830929821357</v>
      </c>
      <c r="E26" s="8">
        <f t="shared" si="3"/>
        <v>476638.55880362337</v>
      </c>
      <c r="F26" s="18">
        <f t="shared" si="4"/>
        <v>228775.03839545988</v>
      </c>
      <c r="G26" s="8">
        <f t="shared" si="5"/>
        <v>413086.75096314028</v>
      </c>
      <c r="H26" s="18">
        <f t="shared" si="4"/>
        <v>-368839.72498438205</v>
      </c>
    </row>
    <row r="27" spans="2:8" x14ac:dyDescent="0.3">
      <c r="B27" s="11">
        <v>5</v>
      </c>
      <c r="C27" s="8">
        <f t="shared" si="6"/>
        <v>340456.11343115952</v>
      </c>
      <c r="D27" s="18">
        <f t="shared" si="2"/>
        <v>261761.28250133817</v>
      </c>
      <c r="E27" s="8">
        <f t="shared" si="3"/>
        <v>453941.4845748794</v>
      </c>
      <c r="F27" s="18">
        <f t="shared" si="4"/>
        <v>682716.52297033928</v>
      </c>
      <c r="G27" s="8">
        <f t="shared" si="5"/>
        <v>425570.14178894943</v>
      </c>
      <c r="H27" s="18">
        <f t="shared" si="4"/>
        <v>56730.416804567387</v>
      </c>
    </row>
    <row r="28" spans="2:8" ht="15" thickBot="1" x14ac:dyDescent="0.35">
      <c r="B28" s="12">
        <v>6</v>
      </c>
      <c r="C28" s="19">
        <f t="shared" si="6"/>
        <v>50663.112117732067</v>
      </c>
      <c r="D28" s="20">
        <f t="shared" si="2"/>
        <v>312424.39461907023</v>
      </c>
      <c r="E28" s="8">
        <f t="shared" si="3"/>
        <v>75994.668176598105</v>
      </c>
      <c r="F28" s="18">
        <f t="shared" si="4"/>
        <v>758711.19114693743</v>
      </c>
      <c r="G28" s="8">
        <f t="shared" si="5"/>
        <v>101326.22423546413</v>
      </c>
      <c r="H28" s="18">
        <f>H27+G28</f>
        <v>158056.64104003151</v>
      </c>
    </row>
    <row r="29" spans="2:8" x14ac:dyDescent="0.3">
      <c r="B29"/>
      <c r="C29"/>
      <c r="D29"/>
      <c r="E29"/>
      <c r="F29"/>
    </row>
    <row r="30" spans="2:8" ht="15" thickBot="1" x14ac:dyDescent="0.35">
      <c r="B30" s="64" t="s">
        <v>19</v>
      </c>
      <c r="C30" s="64"/>
      <c r="D30" s="64"/>
      <c r="E30"/>
      <c r="F30"/>
    </row>
    <row r="31" spans="2:8" x14ac:dyDescent="0.3">
      <c r="B31" s="79" t="s">
        <v>20</v>
      </c>
      <c r="C31" s="80" t="s">
        <v>1</v>
      </c>
      <c r="D31" s="80" t="s">
        <v>2</v>
      </c>
      <c r="E31" s="81" t="s">
        <v>3</v>
      </c>
      <c r="F31"/>
    </row>
    <row r="32" spans="2:8" x14ac:dyDescent="0.3">
      <c r="B32" s="23">
        <v>0.08</v>
      </c>
      <c r="C32" s="22">
        <f>NPV($B32, C$4:C$9)+C$3</f>
        <v>528722.25996286911</v>
      </c>
      <c r="D32" s="22">
        <f t="shared" ref="D32:E32" si="7">NPV($B32, D$4:D$9)+D$3</f>
        <v>858772.74872264126</v>
      </c>
      <c r="E32" s="24">
        <f t="shared" si="7"/>
        <v>414428.70694430359</v>
      </c>
      <c r="F32"/>
    </row>
    <row r="33" spans="2:8" x14ac:dyDescent="0.3">
      <c r="B33" s="23">
        <v>0.1</v>
      </c>
      <c r="C33" s="22">
        <f t="shared" ref="C33:E37" si="8">NPV($B33, C$4:C$9)+C$3</f>
        <v>415852.1778250928</v>
      </c>
      <c r="D33" s="22">
        <f>NPV($B33, D$4:D$9)+D$3</f>
        <v>702233.2282094704</v>
      </c>
      <c r="E33" s="24">
        <f t="shared" si="8"/>
        <v>280395.76396183856</v>
      </c>
      <c r="F33"/>
    </row>
    <row r="34" spans="2:8" x14ac:dyDescent="0.3">
      <c r="B34" s="23">
        <v>0.12</v>
      </c>
      <c r="C34" s="22">
        <f t="shared" si="8"/>
        <v>312424.39461907023</v>
      </c>
      <c r="D34" s="22">
        <f t="shared" si="8"/>
        <v>558711.19114693673</v>
      </c>
      <c r="E34" s="24">
        <f t="shared" si="8"/>
        <v>158056.64104003157</v>
      </c>
      <c r="F34"/>
    </row>
    <row r="35" spans="2:8" x14ac:dyDescent="0.3">
      <c r="B35" s="23">
        <v>0.14000000000000001</v>
      </c>
      <c r="C35" s="22">
        <f t="shared" si="8"/>
        <v>217447.3448329966</v>
      </c>
      <c r="D35" s="22">
        <f t="shared" si="8"/>
        <v>426842.86598889111</v>
      </c>
      <c r="E35" s="24">
        <f t="shared" si="8"/>
        <v>46148.604556879494</v>
      </c>
      <c r="F35"/>
    </row>
    <row r="36" spans="2:8" x14ac:dyDescent="0.3">
      <c r="B36" s="23">
        <v>0.16</v>
      </c>
      <c r="C36" s="22">
        <f t="shared" si="8"/>
        <v>130051.86711568106</v>
      </c>
      <c r="D36" s="22">
        <f t="shared" si="8"/>
        <v>305432.71058129938</v>
      </c>
      <c r="E36" s="24">
        <f t="shared" si="8"/>
        <v>-56431.858192055952</v>
      </c>
      <c r="F36"/>
    </row>
    <row r="37" spans="2:8" ht="15" thickBot="1" x14ac:dyDescent="0.35">
      <c r="B37" s="25">
        <v>0.18</v>
      </c>
      <c r="C37" s="26">
        <f>NPV($B37, C$4:C$9)+C$3</f>
        <v>49474.045569484588</v>
      </c>
      <c r="D37" s="26">
        <f t="shared" si="8"/>
        <v>193429.82671678159</v>
      </c>
      <c r="E37" s="27">
        <f>NPV($B37, E$4:E$9)+E$3</f>
        <v>-150651.74964081706</v>
      </c>
      <c r="F37"/>
    </row>
    <row r="38" spans="2:8" x14ac:dyDescent="0.3">
      <c r="B38" s="2" t="s">
        <v>21</v>
      </c>
      <c r="C38"/>
      <c r="D38"/>
      <c r="E38"/>
      <c r="F38"/>
    </row>
    <row r="39" spans="2:8" x14ac:dyDescent="0.3">
      <c r="B39" s="2"/>
      <c r="C39"/>
      <c r="D39"/>
      <c r="E39"/>
      <c r="F39"/>
    </row>
    <row r="40" spans="2:8" ht="15" thickBot="1" x14ac:dyDescent="0.35">
      <c r="B40" s="63" t="s">
        <v>22</v>
      </c>
      <c r="C40" s="63"/>
      <c r="D40" s="63"/>
      <c r="E40"/>
    </row>
    <row r="41" spans="2:8" x14ac:dyDescent="0.3">
      <c r="B41" s="96"/>
      <c r="C41" s="97" t="s">
        <v>23</v>
      </c>
      <c r="D41" s="97"/>
      <c r="E41" s="97"/>
      <c r="F41" s="98" t="s">
        <v>24</v>
      </c>
      <c r="G41" s="98"/>
      <c r="H41" s="99"/>
    </row>
    <row r="42" spans="2:8" x14ac:dyDescent="0.3">
      <c r="B42" s="100" t="s">
        <v>0</v>
      </c>
      <c r="C42" s="101" t="s">
        <v>1</v>
      </c>
      <c r="D42" s="101" t="s">
        <v>2</v>
      </c>
      <c r="E42" s="101" t="s">
        <v>3</v>
      </c>
      <c r="F42" s="101" t="s">
        <v>1</v>
      </c>
      <c r="G42" s="101" t="s">
        <v>2</v>
      </c>
      <c r="H42" s="102" t="s">
        <v>3</v>
      </c>
    </row>
    <row r="43" spans="2:8" x14ac:dyDescent="0.3">
      <c r="B43" s="4" t="s">
        <v>4</v>
      </c>
      <c r="C43" s="14">
        <v>-1500000</v>
      </c>
      <c r="D43" s="14">
        <v>-2000000</v>
      </c>
      <c r="E43" s="14">
        <v>-1800000</v>
      </c>
      <c r="F43" s="14">
        <v>-1500000</v>
      </c>
      <c r="G43" s="14">
        <v>-2000000</v>
      </c>
      <c r="H43" s="15">
        <v>-1800000</v>
      </c>
    </row>
    <row r="44" spans="2:8" x14ac:dyDescent="0.3">
      <c r="B44" s="4" t="s">
        <v>5</v>
      </c>
      <c r="C44" s="37">
        <f t="shared" ref="C44:E49" si="9">C4 * 0.8</f>
        <v>320000</v>
      </c>
      <c r="D44" s="37">
        <f t="shared" si="9"/>
        <v>480000</v>
      </c>
      <c r="E44" s="37">
        <f t="shared" si="9"/>
        <v>240000</v>
      </c>
      <c r="F44" s="37">
        <f t="shared" ref="F44:H49" si="10">C4 * 1.2</f>
        <v>480000</v>
      </c>
      <c r="G44" s="37">
        <f t="shared" si="10"/>
        <v>720000</v>
      </c>
      <c r="H44" s="40">
        <f t="shared" si="10"/>
        <v>360000</v>
      </c>
    </row>
    <row r="45" spans="2:8" x14ac:dyDescent="0.3">
      <c r="B45" s="4" t="s">
        <v>6</v>
      </c>
      <c r="C45" s="37">
        <f t="shared" si="9"/>
        <v>360000</v>
      </c>
      <c r="D45" s="37">
        <f t="shared" si="9"/>
        <v>520000</v>
      </c>
      <c r="E45" s="37">
        <f t="shared" si="9"/>
        <v>360000</v>
      </c>
      <c r="F45" s="37">
        <f t="shared" si="10"/>
        <v>540000</v>
      </c>
      <c r="G45" s="37">
        <f t="shared" si="10"/>
        <v>780000</v>
      </c>
      <c r="H45" s="40">
        <f t="shared" si="10"/>
        <v>540000</v>
      </c>
    </row>
    <row r="46" spans="2:8" x14ac:dyDescent="0.3">
      <c r="B46" s="4" t="s">
        <v>7</v>
      </c>
      <c r="C46" s="37">
        <f t="shared" si="9"/>
        <v>400000</v>
      </c>
      <c r="D46" s="37">
        <f t="shared" si="9"/>
        <v>560000</v>
      </c>
      <c r="E46" s="37">
        <f t="shared" si="9"/>
        <v>440000</v>
      </c>
      <c r="F46" s="37">
        <f t="shared" si="10"/>
        <v>600000</v>
      </c>
      <c r="G46" s="37">
        <f t="shared" si="10"/>
        <v>840000</v>
      </c>
      <c r="H46" s="40">
        <f t="shared" si="10"/>
        <v>660000</v>
      </c>
    </row>
    <row r="47" spans="2:8" x14ac:dyDescent="0.3">
      <c r="B47" s="4" t="s">
        <v>8</v>
      </c>
      <c r="C47" s="37">
        <f t="shared" si="9"/>
        <v>440000</v>
      </c>
      <c r="D47" s="37">
        <f t="shared" si="9"/>
        <v>600000</v>
      </c>
      <c r="E47" s="37">
        <f t="shared" si="9"/>
        <v>520000</v>
      </c>
      <c r="F47" s="37">
        <f t="shared" si="10"/>
        <v>660000</v>
      </c>
      <c r="G47" s="37">
        <f t="shared" si="10"/>
        <v>900000</v>
      </c>
      <c r="H47" s="40">
        <f t="shared" si="10"/>
        <v>780000</v>
      </c>
    </row>
    <row r="48" spans="2:8" x14ac:dyDescent="0.3">
      <c r="B48" s="4" t="s">
        <v>9</v>
      </c>
      <c r="C48" s="37">
        <f t="shared" si="9"/>
        <v>480000</v>
      </c>
      <c r="D48" s="37">
        <f t="shared" si="9"/>
        <v>640000</v>
      </c>
      <c r="E48" s="37">
        <f t="shared" si="9"/>
        <v>600000</v>
      </c>
      <c r="F48" s="37">
        <f t="shared" si="10"/>
        <v>720000</v>
      </c>
      <c r="G48" s="37">
        <f t="shared" si="10"/>
        <v>960000</v>
      </c>
      <c r="H48" s="40">
        <f t="shared" si="10"/>
        <v>900000</v>
      </c>
    </row>
    <row r="49" spans="2:10" ht="27.6" x14ac:dyDescent="0.3">
      <c r="B49" s="4" t="s">
        <v>10</v>
      </c>
      <c r="C49" s="37">
        <f t="shared" si="9"/>
        <v>80000</v>
      </c>
      <c r="D49" s="37">
        <f t="shared" si="9"/>
        <v>120000</v>
      </c>
      <c r="E49" s="37">
        <f t="shared" si="9"/>
        <v>160000</v>
      </c>
      <c r="F49" s="37">
        <f t="shared" si="10"/>
        <v>120000</v>
      </c>
      <c r="G49" s="37">
        <f t="shared" si="10"/>
        <v>180000</v>
      </c>
      <c r="H49" s="40">
        <f t="shared" si="10"/>
        <v>240000</v>
      </c>
    </row>
    <row r="50" spans="2:10" x14ac:dyDescent="0.3">
      <c r="B50" s="4" t="s">
        <v>11</v>
      </c>
      <c r="C50" s="3">
        <v>0.12</v>
      </c>
      <c r="D50" s="3">
        <v>0.12</v>
      </c>
      <c r="E50" s="3">
        <v>0.12</v>
      </c>
      <c r="F50" s="3">
        <v>0.12</v>
      </c>
      <c r="G50" s="3">
        <v>0.12</v>
      </c>
      <c r="H50" s="53">
        <v>0.12</v>
      </c>
    </row>
    <row r="51" spans="2:10" ht="15" thickBot="1" x14ac:dyDescent="0.35">
      <c r="B51" s="56" t="s">
        <v>14</v>
      </c>
      <c r="C51" s="57">
        <f xml:space="preserve"> NPV(C$50, C$44:C$49) + C$43</f>
        <v>-50060.484304743586</v>
      </c>
      <c r="D51" s="57">
        <f t="shared" ref="D51:G51" si="11" xml:space="preserve"> NPV(D$50, D$44:D$49) + D$43</f>
        <v>46968.952917549759</v>
      </c>
      <c r="E51" s="57">
        <f t="shared" si="11"/>
        <v>-233554.68716797465</v>
      </c>
      <c r="F51" s="54">
        <f t="shared" si="11"/>
        <v>674909.27354288474</v>
      </c>
      <c r="G51" s="54">
        <f t="shared" si="11"/>
        <v>1070453.4293763246</v>
      </c>
      <c r="H51" s="55">
        <f xml:space="preserve"> NPV(H$50, H$44:H$49) + H$43</f>
        <v>549667.96924803779</v>
      </c>
    </row>
    <row r="52" spans="2:10" ht="15" thickBot="1" x14ac:dyDescent="0.35">
      <c r="B52" s="58" t="s">
        <v>25</v>
      </c>
      <c r="C52" s="59">
        <f>MAX(C51, F51, C12)</f>
        <v>674909.27354288474</v>
      </c>
      <c r="D52" s="59">
        <f>MAX(D51, G51, D12)</f>
        <v>1070453.4293763246</v>
      </c>
      <c r="E52" s="60">
        <f>MAX(E51, H51, E12)</f>
        <v>549667.96924803779</v>
      </c>
      <c r="G52" s="63" t="s">
        <v>28</v>
      </c>
      <c r="H52" s="63"/>
      <c r="I52" s="63"/>
    </row>
    <row r="53" spans="2:10" ht="15" thickBot="1" x14ac:dyDescent="0.35">
      <c r="B53" s="36" t="s">
        <v>26</v>
      </c>
      <c r="C53" s="26">
        <f>MIN(C51, F51, C12)</f>
        <v>-50060.484304743586</v>
      </c>
      <c r="D53" s="26">
        <f t="shared" ref="D53:E53" si="12">MIN(D51, G51, D12)</f>
        <v>46968.952917549759</v>
      </c>
      <c r="E53" s="27">
        <f t="shared" si="12"/>
        <v>-233554.68716797465</v>
      </c>
      <c r="G53" s="91" t="s">
        <v>38</v>
      </c>
      <c r="H53" s="48">
        <v>0</v>
      </c>
      <c r="I53" s="48">
        <v>0</v>
      </c>
      <c r="J53" s="49">
        <v>0</v>
      </c>
    </row>
    <row r="54" spans="2:10" x14ac:dyDescent="0.3">
      <c r="B54" s="30"/>
      <c r="C54" s="29"/>
      <c r="D54" s="29"/>
      <c r="E54" s="29"/>
      <c r="G54" s="100" t="s">
        <v>37</v>
      </c>
      <c r="H54" s="37">
        <v>0</v>
      </c>
      <c r="I54" s="37">
        <v>0</v>
      </c>
      <c r="J54" s="40">
        <v>0</v>
      </c>
    </row>
    <row r="55" spans="2:10" x14ac:dyDescent="0.3">
      <c r="B55" s="28"/>
      <c r="C55" s="29"/>
      <c r="D55" s="29"/>
      <c r="E55" s="29"/>
      <c r="G55" s="100" t="s">
        <v>36</v>
      </c>
      <c r="H55" s="37">
        <v>0</v>
      </c>
      <c r="I55" s="37">
        <v>0</v>
      </c>
      <c r="J55" s="40">
        <v>0</v>
      </c>
    </row>
    <row r="56" spans="2:10" ht="15" thickBot="1" x14ac:dyDescent="0.35">
      <c r="B56" s="63" t="s">
        <v>27</v>
      </c>
      <c r="C56" s="63"/>
      <c r="D56" s="63"/>
      <c r="E56" s="29"/>
      <c r="G56" s="100" t="s">
        <v>35</v>
      </c>
      <c r="H56" s="47">
        <v>0</v>
      </c>
      <c r="I56" s="47">
        <v>0</v>
      </c>
      <c r="J56" s="40">
        <v>0</v>
      </c>
    </row>
    <row r="57" spans="2:10" x14ac:dyDescent="0.3">
      <c r="B57" s="91" t="s">
        <v>0</v>
      </c>
      <c r="C57" s="92" t="s">
        <v>1</v>
      </c>
      <c r="D57" s="92" t="s">
        <v>2</v>
      </c>
      <c r="E57" s="93" t="s">
        <v>3</v>
      </c>
      <c r="G57" s="100" t="s">
        <v>34</v>
      </c>
      <c r="H57" s="33">
        <v>0</v>
      </c>
      <c r="I57" s="33">
        <v>0</v>
      </c>
      <c r="J57" s="34">
        <v>0</v>
      </c>
    </row>
    <row r="58" spans="2:10" x14ac:dyDescent="0.3">
      <c r="B58" s="4" t="s">
        <v>4</v>
      </c>
      <c r="C58" s="33">
        <v>-1500000</v>
      </c>
      <c r="D58" s="33">
        <v>-2000000</v>
      </c>
      <c r="E58" s="34">
        <v>-1800000</v>
      </c>
      <c r="G58" s="100" t="s">
        <v>29</v>
      </c>
      <c r="H58" s="37">
        <f>C4*0.2/5</f>
        <v>16000</v>
      </c>
      <c r="I58" s="37">
        <f t="shared" ref="I58:J58" si="13">D4*0.2/5</f>
        <v>24000</v>
      </c>
      <c r="J58" s="40">
        <f t="shared" si="13"/>
        <v>12000</v>
      </c>
    </row>
    <row r="59" spans="2:10" x14ac:dyDescent="0.3">
      <c r="B59" s="4" t="s">
        <v>5</v>
      </c>
      <c r="C59" s="33">
        <f>C4 - (H58+H56+H57+H55+H54)</f>
        <v>384000</v>
      </c>
      <c r="D59" s="33">
        <f t="shared" ref="D59:E59" si="14">D4 - (I58+I56+I57+I55+I54)</f>
        <v>576000</v>
      </c>
      <c r="E59" s="34">
        <f t="shared" si="14"/>
        <v>288000</v>
      </c>
      <c r="G59" s="100" t="s">
        <v>30</v>
      </c>
      <c r="H59" s="37">
        <f>C5*0.2/5</f>
        <v>18000</v>
      </c>
      <c r="I59" s="37">
        <f t="shared" ref="I59:I62" si="15">D5*0.2/5</f>
        <v>26000</v>
      </c>
      <c r="J59" s="40">
        <f t="shared" ref="J59:J62" si="16">E5*0.2/5</f>
        <v>18000</v>
      </c>
    </row>
    <row r="60" spans="2:10" x14ac:dyDescent="0.3">
      <c r="B60" s="4" t="s">
        <v>6</v>
      </c>
      <c r="C60" s="33">
        <f t="shared" ref="C60:C63" si="17">C5 - (H59+H57+H58+H56+H55)</f>
        <v>416000</v>
      </c>
      <c r="D60" s="33">
        <f t="shared" ref="D60:D63" si="18">D5 - (I59+I57+I58+I56+I55)</f>
        <v>600000</v>
      </c>
      <c r="E60" s="34">
        <f t="shared" ref="E60:E62" si="19">E5 - (J59+J57+J58+J56+J55)</f>
        <v>420000</v>
      </c>
      <c r="G60" s="100" t="s">
        <v>31</v>
      </c>
      <c r="H60" s="37">
        <f t="shared" ref="H59:H62" si="20">C6*0.2/5</f>
        <v>20000</v>
      </c>
      <c r="I60" s="37">
        <f t="shared" si="15"/>
        <v>28000</v>
      </c>
      <c r="J60" s="40">
        <f t="shared" si="16"/>
        <v>22000</v>
      </c>
    </row>
    <row r="61" spans="2:10" x14ac:dyDescent="0.3">
      <c r="B61" s="4" t="s">
        <v>7</v>
      </c>
      <c r="C61" s="33">
        <f t="shared" si="17"/>
        <v>446000</v>
      </c>
      <c r="D61" s="33">
        <f t="shared" si="18"/>
        <v>622000</v>
      </c>
      <c r="E61" s="34">
        <f t="shared" si="19"/>
        <v>498000</v>
      </c>
      <c r="G61" s="100" t="s">
        <v>32</v>
      </c>
      <c r="H61" s="37">
        <f t="shared" si="20"/>
        <v>22000</v>
      </c>
      <c r="I61" s="37">
        <f t="shared" si="15"/>
        <v>30000</v>
      </c>
      <c r="J61" s="40">
        <f t="shared" si="16"/>
        <v>26000</v>
      </c>
    </row>
    <row r="62" spans="2:10" ht="15" thickBot="1" x14ac:dyDescent="0.35">
      <c r="B62" s="4" t="s">
        <v>8</v>
      </c>
      <c r="C62" s="33">
        <f t="shared" si="17"/>
        <v>474000</v>
      </c>
      <c r="D62" s="33">
        <f t="shared" si="18"/>
        <v>642000</v>
      </c>
      <c r="E62" s="34">
        <f t="shared" si="19"/>
        <v>572000</v>
      </c>
      <c r="G62" s="103" t="s">
        <v>33</v>
      </c>
      <c r="H62" s="50">
        <f t="shared" si="20"/>
        <v>24000</v>
      </c>
      <c r="I62" s="50">
        <f t="shared" si="15"/>
        <v>32000</v>
      </c>
      <c r="J62" s="51">
        <f t="shared" si="16"/>
        <v>30000</v>
      </c>
    </row>
    <row r="63" spans="2:10" x14ac:dyDescent="0.3">
      <c r="B63" s="4" t="s">
        <v>9</v>
      </c>
      <c r="C63" s="33">
        <f t="shared" si="17"/>
        <v>500000</v>
      </c>
      <c r="D63" s="33">
        <f t="shared" si="18"/>
        <v>660000</v>
      </c>
      <c r="E63" s="34">
        <f>E8 - (J62+J60+J61+J59+J58)</f>
        <v>642000</v>
      </c>
      <c r="G63" s="32"/>
    </row>
    <row r="64" spans="2:10" x14ac:dyDescent="0.3">
      <c r="B64" s="4" t="s">
        <v>39</v>
      </c>
      <c r="C64" s="33">
        <f>-(H63+H61+H62+H60+H59)</f>
        <v>-84000</v>
      </c>
      <c r="D64" s="33">
        <f t="shared" ref="D64:E64" si="21">-(I63+I61+I62+I60+I59)</f>
        <v>-116000</v>
      </c>
      <c r="E64" s="34">
        <f t="shared" si="21"/>
        <v>-96000</v>
      </c>
      <c r="G64" s="31"/>
    </row>
    <row r="65" spans="2:7" x14ac:dyDescent="0.3">
      <c r="B65" s="4" t="s">
        <v>40</v>
      </c>
      <c r="C65" s="33">
        <f t="shared" ref="C65:C67" si="22">-(H64+H62+H63+H61+H60)</f>
        <v>-66000</v>
      </c>
      <c r="D65" s="33">
        <f t="shared" ref="D65:D67" si="23">-(I64+I62+I63+I61+I60)</f>
        <v>-90000</v>
      </c>
      <c r="E65" s="34">
        <f t="shared" ref="E65:E67" si="24">-(J64+J62+J63+J61+J60)</f>
        <v>-78000</v>
      </c>
      <c r="G65" s="32"/>
    </row>
    <row r="66" spans="2:7" x14ac:dyDescent="0.3">
      <c r="B66" s="4" t="s">
        <v>41</v>
      </c>
      <c r="C66" s="33">
        <f t="shared" si="22"/>
        <v>-46000</v>
      </c>
      <c r="D66" s="33">
        <f t="shared" si="23"/>
        <v>-62000</v>
      </c>
      <c r="E66" s="34">
        <f t="shared" si="24"/>
        <v>-56000</v>
      </c>
      <c r="G66" s="31"/>
    </row>
    <row r="67" spans="2:7" x14ac:dyDescent="0.3">
      <c r="B67" s="4" t="s">
        <v>42</v>
      </c>
      <c r="C67" s="33">
        <f t="shared" si="22"/>
        <v>-24000</v>
      </c>
      <c r="D67" s="33">
        <f t="shared" si="23"/>
        <v>-32000</v>
      </c>
      <c r="E67" s="34">
        <f t="shared" si="24"/>
        <v>-30000</v>
      </c>
      <c r="G67" s="32"/>
    </row>
    <row r="68" spans="2:7" x14ac:dyDescent="0.3">
      <c r="B68" s="4"/>
      <c r="C68" s="33"/>
      <c r="D68" s="33"/>
      <c r="E68" s="34"/>
    </row>
    <row r="69" spans="2:7" x14ac:dyDescent="0.3">
      <c r="B69" s="23" t="s">
        <v>43</v>
      </c>
      <c r="C69" s="22">
        <f>NPV(C10, C59:C67)</f>
        <v>1477247.4519885993</v>
      </c>
      <c r="D69" s="22">
        <f t="shared" ref="D69" si="25">NPV(D10, D59:D67)</f>
        <v>2081772.7656954236</v>
      </c>
      <c r="E69" s="24">
        <f>NPV(E10, E59:E67)</f>
        <v>1556879.6433986758</v>
      </c>
    </row>
    <row r="70" spans="2:7" ht="15" thickBot="1" x14ac:dyDescent="0.35">
      <c r="B70" s="36" t="s">
        <v>44</v>
      </c>
      <c r="C70" s="45">
        <f>IRR(C58:C67)</f>
        <v>0.1135260219779779</v>
      </c>
      <c r="D70" s="45">
        <f>IRR(D58:D67)</f>
        <v>0.13761051116199829</v>
      </c>
      <c r="E70" s="46">
        <f>IRR(E58:E67)</f>
        <v>6.4868422110405222E-2</v>
      </c>
    </row>
    <row r="71" spans="2:7" ht="15" thickBot="1" x14ac:dyDescent="0.35">
      <c r="B71" s="28"/>
      <c r="C71" s="29"/>
      <c r="D71" s="29"/>
      <c r="E71" s="29"/>
    </row>
    <row r="72" spans="2:7" x14ac:dyDescent="0.3">
      <c r="B72" s="104" t="s">
        <v>45</v>
      </c>
      <c r="C72" s="105"/>
      <c r="D72" s="105"/>
      <c r="E72" s="106"/>
    </row>
    <row r="73" spans="2:7" x14ac:dyDescent="0.3">
      <c r="B73" s="100" t="s">
        <v>0</v>
      </c>
      <c r="C73" s="107" t="s">
        <v>1</v>
      </c>
      <c r="D73" s="107" t="s">
        <v>2</v>
      </c>
      <c r="E73" s="108" t="s">
        <v>3</v>
      </c>
    </row>
    <row r="74" spans="2:7" x14ac:dyDescent="0.3">
      <c r="B74" s="35" t="s">
        <v>46</v>
      </c>
      <c r="C74" s="37">
        <f>C12</f>
        <v>312424.39461907023</v>
      </c>
      <c r="D74" s="37">
        <f t="shared" ref="D74:E76" si="26">D12</f>
        <v>558711.19114693673</v>
      </c>
      <c r="E74" s="40">
        <f t="shared" si="26"/>
        <v>158056.64104003157</v>
      </c>
    </row>
    <row r="75" spans="2:7" x14ac:dyDescent="0.3">
      <c r="B75" s="23" t="s">
        <v>47</v>
      </c>
      <c r="C75" s="38">
        <f>C13</f>
        <v>0.193117564122542</v>
      </c>
      <c r="D75" s="38">
        <f t="shared" si="26"/>
        <v>0.21871331300588981</v>
      </c>
      <c r="E75" s="41">
        <f t="shared" si="26"/>
        <v>0.14878528169434935</v>
      </c>
    </row>
    <row r="76" spans="2:7" ht="15" thickBot="1" x14ac:dyDescent="0.35">
      <c r="B76" s="35" t="s">
        <v>12</v>
      </c>
      <c r="C76" s="39">
        <f>C14</f>
        <v>2.2082829297460465</v>
      </c>
      <c r="D76" s="39">
        <f t="shared" si="26"/>
        <v>2.2793555955734681</v>
      </c>
      <c r="E76" s="42">
        <f t="shared" si="26"/>
        <v>2.0878092450222399</v>
      </c>
    </row>
    <row r="77" spans="2:7" ht="15" thickBot="1" x14ac:dyDescent="0.35">
      <c r="B77" s="17" t="s">
        <v>17</v>
      </c>
      <c r="C77" s="22">
        <f>C28</f>
        <v>50663.112117732067</v>
      </c>
      <c r="D77" s="22">
        <f>E28</f>
        <v>75994.668176598105</v>
      </c>
      <c r="E77" s="24">
        <f>H28</f>
        <v>158056.64104003151</v>
      </c>
    </row>
    <row r="78" spans="2:7" x14ac:dyDescent="0.3">
      <c r="B78" s="43" t="s">
        <v>18</v>
      </c>
      <c r="C78" s="22">
        <f>D28</f>
        <v>312424.39461907023</v>
      </c>
      <c r="D78" s="22">
        <f>F28</f>
        <v>758711.19114693743</v>
      </c>
      <c r="E78" s="24">
        <f>H28</f>
        <v>158056.64104003151</v>
      </c>
    </row>
    <row r="79" spans="2:7" x14ac:dyDescent="0.3">
      <c r="B79" s="35" t="s">
        <v>48</v>
      </c>
      <c r="C79" s="22">
        <f>F51</f>
        <v>674909.27354288474</v>
      </c>
      <c r="D79" s="22">
        <f>G51</f>
        <v>1070453.4293763246</v>
      </c>
      <c r="E79" s="24">
        <f>H51</f>
        <v>549667.96924803779</v>
      </c>
    </row>
    <row r="80" spans="2:7" x14ac:dyDescent="0.3">
      <c r="B80" s="23" t="s">
        <v>49</v>
      </c>
      <c r="C80" s="22">
        <f t="shared" ref="C80:E82" si="27">C51</f>
        <v>-50060.484304743586</v>
      </c>
      <c r="D80" s="22">
        <f t="shared" si="27"/>
        <v>46968.952917549759</v>
      </c>
      <c r="E80" s="24">
        <f t="shared" si="27"/>
        <v>-233554.68716797465</v>
      </c>
    </row>
    <row r="81" spans="2:5" x14ac:dyDescent="0.3">
      <c r="B81" s="23" t="s">
        <v>25</v>
      </c>
      <c r="C81" s="22">
        <f t="shared" si="27"/>
        <v>674909.27354288474</v>
      </c>
      <c r="D81" s="22">
        <f t="shared" si="27"/>
        <v>1070453.4293763246</v>
      </c>
      <c r="E81" s="24">
        <f t="shared" si="27"/>
        <v>549667.96924803779</v>
      </c>
    </row>
    <row r="82" spans="2:5" x14ac:dyDescent="0.3">
      <c r="B82" s="44" t="s">
        <v>26</v>
      </c>
      <c r="C82" s="22">
        <f t="shared" si="27"/>
        <v>-50060.484304743586</v>
      </c>
      <c r="D82" s="22">
        <f t="shared" si="27"/>
        <v>46968.952917549759</v>
      </c>
      <c r="E82" s="24">
        <f t="shared" si="27"/>
        <v>-233554.68716797465</v>
      </c>
    </row>
    <row r="83" spans="2:5" x14ac:dyDescent="0.3">
      <c r="B83" s="23" t="s">
        <v>50</v>
      </c>
      <c r="C83" s="22">
        <f t="shared" ref="C83:E84" si="28">C69</f>
        <v>1477247.4519885993</v>
      </c>
      <c r="D83" s="22">
        <f t="shared" si="28"/>
        <v>2081772.7656954236</v>
      </c>
      <c r="E83" s="24">
        <f t="shared" si="28"/>
        <v>1556879.6433986758</v>
      </c>
    </row>
    <row r="84" spans="2:5" ht="15" thickBot="1" x14ac:dyDescent="0.35">
      <c r="B84" s="36" t="s">
        <v>51</v>
      </c>
      <c r="C84" s="26">
        <f t="shared" si="28"/>
        <v>0.1135260219779779</v>
      </c>
      <c r="D84" s="26">
        <f t="shared" si="28"/>
        <v>0.13761051116199829</v>
      </c>
      <c r="E84" s="27">
        <f t="shared" si="28"/>
        <v>6.4868422110405222E-2</v>
      </c>
    </row>
    <row r="85" spans="2:5" x14ac:dyDescent="0.3">
      <c r="B85" s="30"/>
      <c r="C85" s="29"/>
      <c r="D85" s="29"/>
      <c r="E85" s="29"/>
    </row>
    <row r="86" spans="2:5" x14ac:dyDescent="0.3">
      <c r="B86" s="28"/>
      <c r="C86" s="29"/>
      <c r="D86" s="29"/>
      <c r="E86" s="29"/>
    </row>
    <row r="87" spans="2:5" x14ac:dyDescent="0.3">
      <c r="B87" s="30"/>
      <c r="C87" s="29"/>
      <c r="D87" s="29"/>
      <c r="E87" s="29"/>
    </row>
    <row r="88" spans="2:5" x14ac:dyDescent="0.3">
      <c r="B88" s="28"/>
      <c r="C88" s="29"/>
      <c r="D88" s="29"/>
      <c r="E88" s="29"/>
    </row>
    <row r="89" spans="2:5" x14ac:dyDescent="0.3">
      <c r="B89" s="30"/>
      <c r="C89" s="29"/>
      <c r="D89" s="29"/>
      <c r="E89" s="29"/>
    </row>
    <row r="90" spans="2:5" x14ac:dyDescent="0.3">
      <c r="B90" s="28"/>
      <c r="C90" s="29"/>
      <c r="D90" s="29"/>
      <c r="E90" s="29"/>
    </row>
    <row r="91" spans="2:5" x14ac:dyDescent="0.3">
      <c r="B91" s="30"/>
      <c r="C91" s="29"/>
      <c r="D91" s="29"/>
      <c r="E91" s="29"/>
    </row>
    <row r="92" spans="2:5" x14ac:dyDescent="0.3">
      <c r="B92" s="28"/>
      <c r="C92" s="29"/>
      <c r="D92" s="29"/>
      <c r="E92" s="29"/>
    </row>
    <row r="93" spans="2:5" x14ac:dyDescent="0.3">
      <c r="B93" s="30"/>
      <c r="C93" s="29"/>
      <c r="D93" s="29"/>
      <c r="E93" s="29"/>
    </row>
    <row r="94" spans="2:5" x14ac:dyDescent="0.3">
      <c r="B94" s="28"/>
      <c r="C94" s="29"/>
      <c r="D94" s="29"/>
      <c r="E94" s="29"/>
    </row>
    <row r="95" spans="2:5" x14ac:dyDescent="0.3">
      <c r="B95" s="30"/>
      <c r="C95" s="29"/>
      <c r="D95" s="29"/>
      <c r="E95" s="29"/>
    </row>
    <row r="96" spans="2:5" x14ac:dyDescent="0.3">
      <c r="B96" s="28"/>
      <c r="C96" s="29"/>
      <c r="D96" s="29"/>
      <c r="E96" s="29"/>
    </row>
    <row r="97" spans="2:5" x14ac:dyDescent="0.3">
      <c r="B97" s="30"/>
      <c r="C97" s="29"/>
      <c r="D97" s="29"/>
      <c r="E97" s="29"/>
    </row>
    <row r="98" spans="2:5" x14ac:dyDescent="0.3">
      <c r="B98" s="28"/>
      <c r="C98" s="29"/>
      <c r="D98" s="29"/>
      <c r="E98" s="29"/>
    </row>
    <row r="99" spans="2:5" x14ac:dyDescent="0.3">
      <c r="B99" s="30"/>
      <c r="C99" s="29"/>
      <c r="D99" s="29"/>
      <c r="E99" s="29"/>
    </row>
    <row r="100" spans="2:5" x14ac:dyDescent="0.3">
      <c r="B100" s="28"/>
      <c r="C100" s="29"/>
      <c r="D100" s="29"/>
      <c r="E100" s="29"/>
    </row>
    <row r="101" spans="2:5" x14ac:dyDescent="0.3">
      <c r="B101" s="30"/>
      <c r="C101" s="29"/>
      <c r="D101" s="29"/>
      <c r="E101" s="29"/>
    </row>
    <row r="102" spans="2:5" x14ac:dyDescent="0.3">
      <c r="B102" s="28"/>
      <c r="C102" s="29"/>
      <c r="D102" s="29"/>
      <c r="E102" s="29"/>
    </row>
    <row r="103" spans="2:5" x14ac:dyDescent="0.3">
      <c r="B103" s="30"/>
      <c r="C103" s="29"/>
      <c r="D103" s="29"/>
      <c r="E103" s="29"/>
    </row>
    <row r="104" spans="2:5" x14ac:dyDescent="0.3">
      <c r="B104" s="28"/>
      <c r="C104" s="29"/>
      <c r="D104" s="29"/>
      <c r="E104" s="29"/>
    </row>
    <row r="105" spans="2:5" x14ac:dyDescent="0.3">
      <c r="B105" s="30"/>
      <c r="C105" s="29"/>
      <c r="D105" s="29"/>
      <c r="E105" s="29"/>
    </row>
    <row r="106" spans="2:5" x14ac:dyDescent="0.3">
      <c r="B106" s="28"/>
      <c r="C106" s="29"/>
      <c r="D106" s="29"/>
      <c r="E106" s="29"/>
    </row>
    <row r="107" spans="2:5" x14ac:dyDescent="0.3">
      <c r="B107" s="30"/>
      <c r="C107" s="29"/>
      <c r="D107" s="29"/>
      <c r="E107" s="29"/>
    </row>
    <row r="108" spans="2:5" x14ac:dyDescent="0.3">
      <c r="B108" s="28"/>
      <c r="C108" s="29"/>
      <c r="D108" s="29"/>
      <c r="E108" s="29"/>
    </row>
    <row r="109" spans="2:5" x14ac:dyDescent="0.3">
      <c r="B109" s="30"/>
      <c r="C109" s="29"/>
      <c r="D109" s="29"/>
      <c r="E109" s="29"/>
    </row>
    <row r="110" spans="2:5" x14ac:dyDescent="0.3">
      <c r="B110" s="28"/>
      <c r="C110" s="29"/>
      <c r="D110" s="29"/>
      <c r="E110" s="29"/>
    </row>
    <row r="111" spans="2:5" x14ac:dyDescent="0.3">
      <c r="B111" s="30"/>
      <c r="C111" s="29"/>
      <c r="D111" s="29"/>
      <c r="E111" s="29"/>
    </row>
    <row r="112" spans="2:5" x14ac:dyDescent="0.3">
      <c r="B112" s="28"/>
      <c r="C112" s="29"/>
      <c r="D112" s="29"/>
      <c r="E112" s="29"/>
    </row>
    <row r="113" spans="2:5" x14ac:dyDescent="0.3">
      <c r="B113" s="30"/>
      <c r="C113" s="29"/>
      <c r="D113" s="29"/>
      <c r="E113" s="29"/>
    </row>
    <row r="114" spans="2:5" x14ac:dyDescent="0.3">
      <c r="B114" s="28"/>
      <c r="C114" s="29"/>
      <c r="D114" s="29"/>
      <c r="E114" s="29"/>
    </row>
    <row r="115" spans="2:5" x14ac:dyDescent="0.3">
      <c r="B115" s="30"/>
      <c r="C115" s="29"/>
      <c r="D115" s="29"/>
      <c r="E115" s="29"/>
    </row>
    <row r="116" spans="2:5" x14ac:dyDescent="0.3">
      <c r="B116" s="28"/>
      <c r="C116" s="29"/>
      <c r="D116" s="29"/>
      <c r="E116" s="29"/>
    </row>
    <row r="117" spans="2:5" x14ac:dyDescent="0.3">
      <c r="B117" s="30"/>
      <c r="C117" s="29"/>
      <c r="D117" s="29"/>
      <c r="E117" s="29"/>
    </row>
    <row r="118" spans="2:5" x14ac:dyDescent="0.3">
      <c r="B118" s="28"/>
      <c r="C118" s="29"/>
      <c r="D118" s="29"/>
      <c r="E118" s="29"/>
    </row>
    <row r="119" spans="2:5" x14ac:dyDescent="0.3">
      <c r="B119" s="30"/>
      <c r="C119" s="29"/>
      <c r="D119" s="29"/>
      <c r="E119" s="29"/>
    </row>
    <row r="120" spans="2:5" x14ac:dyDescent="0.3">
      <c r="B120" s="28"/>
      <c r="C120" s="29"/>
      <c r="D120" s="29"/>
      <c r="E120" s="29"/>
    </row>
    <row r="121" spans="2:5" x14ac:dyDescent="0.3">
      <c r="B121" s="30"/>
      <c r="C121" s="29"/>
      <c r="D121" s="29"/>
      <c r="E121" s="29"/>
    </row>
    <row r="122" spans="2:5" x14ac:dyDescent="0.3">
      <c r="B122" s="28"/>
      <c r="C122" s="29"/>
      <c r="D122" s="29"/>
      <c r="E122" s="29"/>
    </row>
    <row r="123" spans="2:5" x14ac:dyDescent="0.3">
      <c r="B123" s="30"/>
      <c r="C123" s="29"/>
      <c r="D123" s="29"/>
      <c r="E123" s="29"/>
    </row>
    <row r="124" spans="2:5" x14ac:dyDescent="0.3">
      <c r="B124" s="28"/>
      <c r="C124" s="29"/>
      <c r="D124" s="29"/>
      <c r="E124" s="29"/>
    </row>
    <row r="125" spans="2:5" x14ac:dyDescent="0.3">
      <c r="B125" s="30"/>
      <c r="C125" s="29"/>
      <c r="D125" s="29"/>
      <c r="E125" s="29"/>
    </row>
    <row r="126" spans="2:5" x14ac:dyDescent="0.3">
      <c r="B126" s="28"/>
      <c r="C126" s="29"/>
      <c r="D126" s="29"/>
      <c r="E126" s="29"/>
    </row>
    <row r="127" spans="2:5" x14ac:dyDescent="0.3">
      <c r="B127" s="30"/>
      <c r="C127" s="29"/>
      <c r="D127" s="29"/>
      <c r="E127" s="29"/>
    </row>
    <row r="128" spans="2:5" x14ac:dyDescent="0.3">
      <c r="B128" s="28"/>
      <c r="C128" s="29"/>
      <c r="D128" s="29"/>
      <c r="E128" s="29"/>
    </row>
    <row r="129" spans="2:5" x14ac:dyDescent="0.3">
      <c r="B129" s="30"/>
      <c r="C129" s="29"/>
      <c r="D129" s="29"/>
      <c r="E129" s="29"/>
    </row>
    <row r="130" spans="2:5" x14ac:dyDescent="0.3">
      <c r="B130" s="28"/>
      <c r="C130" s="29"/>
      <c r="D130" s="29"/>
      <c r="E130" s="29"/>
    </row>
    <row r="131" spans="2:5" x14ac:dyDescent="0.3">
      <c r="B131" s="30"/>
      <c r="C131" s="29"/>
      <c r="D131" s="29"/>
      <c r="E131" s="29"/>
    </row>
    <row r="132" spans="2:5" x14ac:dyDescent="0.3">
      <c r="B132" s="28"/>
      <c r="C132" s="29"/>
      <c r="D132" s="29"/>
      <c r="E132" s="29"/>
    </row>
    <row r="133" spans="2:5" x14ac:dyDescent="0.3">
      <c r="B133" s="30"/>
      <c r="C133" s="29"/>
      <c r="D133" s="29"/>
      <c r="E133" s="29"/>
    </row>
    <row r="134" spans="2:5" x14ac:dyDescent="0.3">
      <c r="B134" s="28"/>
      <c r="C134" s="29"/>
      <c r="D134" s="29"/>
      <c r="E134" s="29"/>
    </row>
    <row r="135" spans="2:5" x14ac:dyDescent="0.3">
      <c r="B135" s="30"/>
      <c r="C135" s="29"/>
      <c r="D135" s="29"/>
      <c r="E135" s="29"/>
    </row>
    <row r="136" spans="2:5" x14ac:dyDescent="0.3">
      <c r="B136" s="28"/>
      <c r="C136" s="29"/>
      <c r="D136" s="29"/>
      <c r="E136" s="29"/>
    </row>
    <row r="137" spans="2:5" x14ac:dyDescent="0.3">
      <c r="B137" s="30"/>
      <c r="C137" s="29"/>
      <c r="D137" s="29"/>
      <c r="E137" s="29"/>
    </row>
    <row r="138" spans="2:5" x14ac:dyDescent="0.3">
      <c r="B138" s="28"/>
      <c r="C138" s="29"/>
      <c r="D138" s="29"/>
      <c r="E138" s="29"/>
    </row>
    <row r="139" spans="2:5" x14ac:dyDescent="0.3">
      <c r="B139" s="30"/>
      <c r="C139" s="29"/>
      <c r="D139" s="29"/>
      <c r="E139" s="29"/>
    </row>
    <row r="140" spans="2:5" x14ac:dyDescent="0.3">
      <c r="B140" s="28"/>
      <c r="C140" s="29"/>
      <c r="D140" s="29"/>
      <c r="E140" s="29"/>
    </row>
    <row r="141" spans="2:5" x14ac:dyDescent="0.3">
      <c r="B141" s="30"/>
      <c r="C141" s="29"/>
      <c r="D141" s="29"/>
      <c r="E141" s="29"/>
    </row>
    <row r="142" spans="2:5" x14ac:dyDescent="0.3">
      <c r="B142" s="28"/>
      <c r="C142" s="29"/>
      <c r="D142" s="29"/>
      <c r="E142" s="29"/>
    </row>
    <row r="143" spans="2:5" x14ac:dyDescent="0.3">
      <c r="B143" s="30"/>
      <c r="C143" s="29"/>
      <c r="D143" s="29"/>
      <c r="E143" s="29"/>
    </row>
    <row r="144" spans="2:5" x14ac:dyDescent="0.3">
      <c r="B144" s="28"/>
      <c r="C144" s="29"/>
      <c r="D144" s="29"/>
      <c r="E144" s="29"/>
    </row>
    <row r="145" spans="2:5" x14ac:dyDescent="0.3">
      <c r="B145" s="30"/>
      <c r="C145" s="29"/>
      <c r="D145" s="29"/>
      <c r="E145" s="29"/>
    </row>
    <row r="146" spans="2:5" x14ac:dyDescent="0.3">
      <c r="B146" s="28"/>
      <c r="C146" s="29"/>
      <c r="D146" s="29"/>
      <c r="E146" s="29"/>
    </row>
    <row r="147" spans="2:5" x14ac:dyDescent="0.3">
      <c r="B147" s="30"/>
      <c r="C147" s="29"/>
      <c r="D147" s="29"/>
      <c r="E147" s="29"/>
    </row>
    <row r="148" spans="2:5" x14ac:dyDescent="0.3">
      <c r="B148" s="28"/>
      <c r="C148" s="29"/>
      <c r="D148" s="29"/>
      <c r="E148" s="29"/>
    </row>
    <row r="149" spans="2:5" x14ac:dyDescent="0.3">
      <c r="B149" s="30"/>
      <c r="C149" s="29"/>
      <c r="D149" s="29"/>
      <c r="E149" s="29"/>
    </row>
    <row r="150" spans="2:5" x14ac:dyDescent="0.3">
      <c r="B150" s="28"/>
      <c r="C150" s="29"/>
      <c r="D150" s="29"/>
      <c r="E150" s="29"/>
    </row>
    <row r="151" spans="2:5" x14ac:dyDescent="0.3">
      <c r="B151" s="30"/>
      <c r="C151" s="29"/>
      <c r="D151" s="29"/>
      <c r="E151" s="29"/>
    </row>
    <row r="152" spans="2:5" x14ac:dyDescent="0.3">
      <c r="B152" s="28"/>
      <c r="C152" s="29"/>
      <c r="D152" s="29"/>
      <c r="E152" s="29"/>
    </row>
    <row r="153" spans="2:5" x14ac:dyDescent="0.3">
      <c r="B153" s="30"/>
      <c r="C153" s="29"/>
      <c r="D153" s="29"/>
      <c r="E153" s="29"/>
    </row>
    <row r="154" spans="2:5" x14ac:dyDescent="0.3">
      <c r="B154" s="28"/>
      <c r="C154" s="29"/>
      <c r="D154" s="29"/>
      <c r="E154" s="29"/>
    </row>
    <row r="155" spans="2:5" x14ac:dyDescent="0.3">
      <c r="B155" s="30"/>
      <c r="C155" s="29"/>
      <c r="D155" s="29"/>
      <c r="E155" s="29"/>
    </row>
    <row r="156" spans="2:5" x14ac:dyDescent="0.3">
      <c r="B156" s="28"/>
      <c r="C156" s="29"/>
      <c r="D156" s="29"/>
      <c r="E156" s="29"/>
    </row>
    <row r="157" spans="2:5" x14ac:dyDescent="0.3">
      <c r="B157" s="30"/>
      <c r="C157" s="29"/>
      <c r="D157" s="29"/>
      <c r="E157" s="29"/>
    </row>
    <row r="158" spans="2:5" x14ac:dyDescent="0.3">
      <c r="B158" s="28"/>
      <c r="C158" s="29"/>
      <c r="D158" s="29"/>
      <c r="E158" s="29"/>
    </row>
    <row r="159" spans="2:5" x14ac:dyDescent="0.3">
      <c r="B159" s="30"/>
      <c r="C159" s="29"/>
      <c r="D159" s="29"/>
      <c r="E159" s="29"/>
    </row>
    <row r="160" spans="2:5" x14ac:dyDescent="0.3">
      <c r="B160" s="28"/>
      <c r="C160" s="29"/>
      <c r="D160" s="29"/>
      <c r="E160" s="29"/>
    </row>
    <row r="161" spans="2:5" x14ac:dyDescent="0.3">
      <c r="B161" s="30"/>
      <c r="C161" s="29"/>
      <c r="D161" s="29"/>
      <c r="E161" s="29"/>
    </row>
    <row r="162" spans="2:5" x14ac:dyDescent="0.3">
      <c r="B162" s="28"/>
      <c r="C162" s="29"/>
      <c r="D162" s="29"/>
      <c r="E162" s="29"/>
    </row>
    <row r="163" spans="2:5" x14ac:dyDescent="0.3">
      <c r="B163" s="30"/>
      <c r="C163" s="29"/>
      <c r="D163" s="29"/>
      <c r="E163" s="29"/>
    </row>
    <row r="164" spans="2:5" x14ac:dyDescent="0.3">
      <c r="B164" s="28"/>
      <c r="C164" s="29"/>
      <c r="D164" s="29"/>
      <c r="E164" s="29"/>
    </row>
    <row r="165" spans="2:5" x14ac:dyDescent="0.3">
      <c r="B165" s="30"/>
      <c r="C165" s="29"/>
      <c r="D165" s="29"/>
      <c r="E165" s="29"/>
    </row>
    <row r="166" spans="2:5" x14ac:dyDescent="0.3">
      <c r="B166" s="28"/>
      <c r="C166" s="29"/>
      <c r="D166" s="29"/>
      <c r="E166" s="29"/>
    </row>
    <row r="167" spans="2:5" x14ac:dyDescent="0.3">
      <c r="B167" s="30"/>
      <c r="C167" s="29"/>
      <c r="D167" s="29"/>
      <c r="E167" s="29"/>
    </row>
    <row r="168" spans="2:5" x14ac:dyDescent="0.3">
      <c r="B168" s="28"/>
      <c r="C168" s="29"/>
      <c r="D168" s="29"/>
      <c r="E168" s="29"/>
    </row>
    <row r="169" spans="2:5" x14ac:dyDescent="0.3">
      <c r="B169" s="30"/>
      <c r="C169" s="29"/>
      <c r="D169" s="29"/>
      <c r="E169" s="29"/>
    </row>
    <row r="170" spans="2:5" x14ac:dyDescent="0.3">
      <c r="B170" s="28"/>
      <c r="C170" s="29"/>
      <c r="D170" s="29"/>
      <c r="E170" s="29"/>
    </row>
    <row r="171" spans="2:5" x14ac:dyDescent="0.3">
      <c r="B171" s="30"/>
      <c r="C171" s="29"/>
      <c r="D171" s="29"/>
      <c r="E171" s="29"/>
    </row>
    <row r="172" spans="2:5" x14ac:dyDescent="0.3">
      <c r="B172" s="28"/>
      <c r="C172" s="29"/>
      <c r="D172" s="29"/>
      <c r="E172" s="29"/>
    </row>
    <row r="173" spans="2:5" x14ac:dyDescent="0.3">
      <c r="B173" s="30"/>
      <c r="C173" s="29"/>
      <c r="D173" s="29"/>
      <c r="E173" s="29"/>
    </row>
    <row r="174" spans="2:5" x14ac:dyDescent="0.3">
      <c r="B174" s="28"/>
      <c r="C174" s="29"/>
      <c r="D174" s="29"/>
      <c r="E174" s="29"/>
    </row>
    <row r="175" spans="2:5" x14ac:dyDescent="0.3">
      <c r="B175" s="30"/>
      <c r="C175" s="29"/>
      <c r="D175" s="29"/>
      <c r="E175" s="29"/>
    </row>
    <row r="176" spans="2:5" x14ac:dyDescent="0.3">
      <c r="B176" s="28"/>
      <c r="C176" s="29"/>
      <c r="D176" s="29"/>
      <c r="E176" s="29"/>
    </row>
    <row r="177" spans="2:5" x14ac:dyDescent="0.3">
      <c r="B177" s="30"/>
      <c r="C177" s="29"/>
      <c r="D177" s="29"/>
      <c r="E177" s="29"/>
    </row>
    <row r="178" spans="2:5" x14ac:dyDescent="0.3">
      <c r="B178" s="28"/>
      <c r="C178" s="29"/>
      <c r="D178" s="29"/>
      <c r="E178" s="29"/>
    </row>
    <row r="179" spans="2:5" x14ac:dyDescent="0.3">
      <c r="B179" s="30"/>
      <c r="C179" s="29"/>
      <c r="D179" s="29"/>
      <c r="E179" s="29"/>
    </row>
    <row r="180" spans="2:5" x14ac:dyDescent="0.3">
      <c r="B180" s="28"/>
      <c r="C180" s="29"/>
      <c r="D180" s="29"/>
      <c r="E180" s="29"/>
    </row>
    <row r="181" spans="2:5" x14ac:dyDescent="0.3">
      <c r="B181" s="30"/>
      <c r="C181" s="29"/>
      <c r="D181" s="29"/>
      <c r="E181" s="29"/>
    </row>
    <row r="182" spans="2:5" x14ac:dyDescent="0.3">
      <c r="B182" s="28"/>
      <c r="C182" s="29"/>
      <c r="D182" s="29"/>
      <c r="E182" s="29"/>
    </row>
    <row r="183" spans="2:5" x14ac:dyDescent="0.3">
      <c r="B183" s="30"/>
      <c r="C183" s="29"/>
      <c r="D183" s="29"/>
      <c r="E183" s="29"/>
    </row>
    <row r="184" spans="2:5" x14ac:dyDescent="0.3">
      <c r="B184" s="28"/>
      <c r="C184" s="29"/>
      <c r="D184" s="29"/>
      <c r="E184" s="29"/>
    </row>
    <row r="185" spans="2:5" x14ac:dyDescent="0.3">
      <c r="B185" s="30"/>
      <c r="C185" s="29"/>
      <c r="D185" s="29"/>
      <c r="E185" s="29"/>
    </row>
    <row r="186" spans="2:5" x14ac:dyDescent="0.3">
      <c r="B186" s="28"/>
      <c r="C186" s="29"/>
      <c r="D186" s="29"/>
      <c r="E186" s="29"/>
    </row>
    <row r="187" spans="2:5" x14ac:dyDescent="0.3">
      <c r="B187" s="30"/>
      <c r="C187" s="29"/>
      <c r="D187" s="29"/>
      <c r="E187" s="29"/>
    </row>
    <row r="188" spans="2:5" x14ac:dyDescent="0.3">
      <c r="B188" s="28"/>
      <c r="C188" s="29"/>
      <c r="D188" s="29"/>
      <c r="E188" s="29"/>
    </row>
    <row r="189" spans="2:5" x14ac:dyDescent="0.3">
      <c r="B189" s="30"/>
      <c r="C189" s="29"/>
      <c r="D189" s="29"/>
      <c r="E189" s="29"/>
    </row>
    <row r="190" spans="2:5" x14ac:dyDescent="0.3">
      <c r="B190" s="28"/>
      <c r="C190" s="29"/>
      <c r="D190" s="29"/>
      <c r="E190" s="29"/>
    </row>
    <row r="191" spans="2:5" x14ac:dyDescent="0.3">
      <c r="B191" s="30"/>
      <c r="C191" s="29"/>
      <c r="D191" s="29"/>
      <c r="E191" s="29"/>
    </row>
    <row r="192" spans="2:5" x14ac:dyDescent="0.3">
      <c r="B192" s="28"/>
      <c r="C192" s="29"/>
      <c r="D192" s="29"/>
      <c r="E192" s="29"/>
    </row>
    <row r="193" spans="2:5" x14ac:dyDescent="0.3">
      <c r="B193" s="30"/>
      <c r="C193" s="29"/>
      <c r="D193" s="29"/>
      <c r="E193" s="29"/>
    </row>
    <row r="194" spans="2:5" x14ac:dyDescent="0.3">
      <c r="B194" s="28"/>
      <c r="C194" s="29"/>
      <c r="D194" s="29"/>
      <c r="E194" s="29"/>
    </row>
    <row r="195" spans="2:5" x14ac:dyDescent="0.3">
      <c r="B195" s="30"/>
      <c r="C195" s="29"/>
      <c r="D195" s="29"/>
      <c r="E195" s="29"/>
    </row>
    <row r="196" spans="2:5" x14ac:dyDescent="0.3">
      <c r="B196" s="28"/>
      <c r="C196" s="29"/>
      <c r="D196" s="29"/>
      <c r="E196" s="29"/>
    </row>
    <row r="197" spans="2:5" x14ac:dyDescent="0.3">
      <c r="B197" s="30"/>
      <c r="C197" s="29"/>
      <c r="D197" s="29"/>
      <c r="E197" s="29"/>
    </row>
    <row r="198" spans="2:5" x14ac:dyDescent="0.3">
      <c r="B198" s="28"/>
      <c r="C198" s="29"/>
      <c r="D198" s="29"/>
      <c r="E198" s="29"/>
    </row>
    <row r="199" spans="2:5" x14ac:dyDescent="0.3">
      <c r="B199" s="30"/>
      <c r="C199" s="29"/>
      <c r="D199" s="29"/>
      <c r="E199" s="29"/>
    </row>
    <row r="200" spans="2:5" x14ac:dyDescent="0.3">
      <c r="B200" s="28"/>
      <c r="C200" s="29"/>
      <c r="D200" s="29"/>
      <c r="E200" s="29"/>
    </row>
    <row r="201" spans="2:5" x14ac:dyDescent="0.3">
      <c r="B201" s="30"/>
      <c r="C201" s="29"/>
      <c r="D201" s="29"/>
      <c r="E201" s="29"/>
    </row>
    <row r="202" spans="2:5" x14ac:dyDescent="0.3">
      <c r="B202" s="28"/>
      <c r="C202" s="29"/>
      <c r="D202" s="29"/>
      <c r="E202" s="29"/>
    </row>
    <row r="203" spans="2:5" x14ac:dyDescent="0.3">
      <c r="B203" s="30"/>
      <c r="C203" s="29"/>
      <c r="D203" s="29"/>
      <c r="E203" s="29"/>
    </row>
    <row r="204" spans="2:5" x14ac:dyDescent="0.3">
      <c r="B204" s="28"/>
      <c r="C204" s="29"/>
      <c r="D204" s="29"/>
      <c r="E204" s="29"/>
    </row>
    <row r="205" spans="2:5" x14ac:dyDescent="0.3">
      <c r="B205" s="30"/>
      <c r="C205" s="29"/>
      <c r="D205" s="29"/>
      <c r="E205" s="29"/>
    </row>
    <row r="206" spans="2:5" x14ac:dyDescent="0.3">
      <c r="B206" s="28"/>
      <c r="C206" s="29"/>
      <c r="D206" s="29"/>
      <c r="E206" s="29"/>
    </row>
    <row r="207" spans="2:5" x14ac:dyDescent="0.3">
      <c r="B207" s="30"/>
      <c r="C207" s="29"/>
      <c r="D207" s="29"/>
      <c r="E207" s="29"/>
    </row>
    <row r="208" spans="2:5" x14ac:dyDescent="0.3">
      <c r="B208" s="28"/>
      <c r="C208" s="29"/>
      <c r="D208" s="29"/>
      <c r="E208" s="29"/>
    </row>
    <row r="209" spans="2:5" x14ac:dyDescent="0.3">
      <c r="B209" s="30"/>
      <c r="C209" s="29"/>
      <c r="D209" s="29"/>
      <c r="E209" s="29"/>
    </row>
    <row r="210" spans="2:5" x14ac:dyDescent="0.3">
      <c r="B210" s="28"/>
      <c r="C210" s="29"/>
      <c r="D210" s="29"/>
      <c r="E210" s="29"/>
    </row>
    <row r="211" spans="2:5" x14ac:dyDescent="0.3">
      <c r="B211" s="30"/>
      <c r="C211" s="29"/>
      <c r="D211" s="29"/>
      <c r="E211" s="29"/>
    </row>
    <row r="212" spans="2:5" x14ac:dyDescent="0.3">
      <c r="B212" s="28"/>
      <c r="C212" s="29"/>
      <c r="D212" s="29"/>
      <c r="E212" s="29"/>
    </row>
    <row r="213" spans="2:5" x14ac:dyDescent="0.3">
      <c r="B213" s="30"/>
      <c r="C213" s="29"/>
      <c r="D213" s="29"/>
      <c r="E213" s="29"/>
    </row>
    <row r="214" spans="2:5" x14ac:dyDescent="0.3">
      <c r="B214" s="28"/>
      <c r="C214" s="29"/>
      <c r="D214" s="29"/>
      <c r="E214" s="29"/>
    </row>
    <row r="215" spans="2:5" x14ac:dyDescent="0.3">
      <c r="B215" s="30"/>
      <c r="C215" s="29"/>
      <c r="D215" s="29"/>
      <c r="E215" s="29"/>
    </row>
    <row r="216" spans="2:5" x14ac:dyDescent="0.3">
      <c r="B216" s="30"/>
      <c r="C216" s="29"/>
      <c r="D216" s="29"/>
      <c r="E216" s="29"/>
    </row>
    <row r="217" spans="2:5" x14ac:dyDescent="0.3">
      <c r="B217" s="28"/>
      <c r="C217" s="29"/>
      <c r="D217" s="29"/>
      <c r="E217" s="29"/>
    </row>
    <row r="218" spans="2:5" x14ac:dyDescent="0.3">
      <c r="B218" s="30"/>
      <c r="C218" s="29"/>
      <c r="D218" s="29"/>
      <c r="E218" s="29"/>
    </row>
    <row r="219" spans="2:5" x14ac:dyDescent="0.3">
      <c r="B219" s="28"/>
      <c r="C219" s="29"/>
      <c r="D219" s="29"/>
      <c r="E219" s="29"/>
    </row>
    <row r="220" spans="2:5" x14ac:dyDescent="0.3">
      <c r="B220" s="30"/>
      <c r="C220" s="29"/>
      <c r="D220" s="29"/>
      <c r="E220" s="29"/>
    </row>
    <row r="221" spans="2:5" x14ac:dyDescent="0.3">
      <c r="B221" s="30"/>
      <c r="C221" s="29"/>
      <c r="D221" s="29"/>
      <c r="E221" s="29"/>
    </row>
    <row r="222" spans="2:5" x14ac:dyDescent="0.3">
      <c r="B222" s="28"/>
      <c r="C222" s="29"/>
      <c r="D222" s="29"/>
      <c r="E222" s="29"/>
    </row>
    <row r="223" spans="2:5" x14ac:dyDescent="0.3">
      <c r="B223" s="30"/>
      <c r="C223" s="29"/>
      <c r="D223" s="29"/>
      <c r="E223" s="29"/>
    </row>
    <row r="224" spans="2:5" x14ac:dyDescent="0.3">
      <c r="B224" s="28"/>
      <c r="C224" s="29"/>
      <c r="D224" s="29"/>
      <c r="E224" s="29"/>
    </row>
    <row r="225" spans="2:5" x14ac:dyDescent="0.3">
      <c r="B225" s="30"/>
      <c r="C225" s="29"/>
      <c r="D225" s="29"/>
      <c r="E225" s="29"/>
    </row>
    <row r="226" spans="2:5" x14ac:dyDescent="0.3">
      <c r="B226" s="30"/>
      <c r="C226" s="29"/>
      <c r="D226" s="29"/>
      <c r="E226" s="29"/>
    </row>
    <row r="227" spans="2:5" x14ac:dyDescent="0.3">
      <c r="B227" s="28"/>
      <c r="C227" s="29"/>
      <c r="D227" s="29"/>
      <c r="E227" s="29"/>
    </row>
    <row r="228" spans="2:5" x14ac:dyDescent="0.3">
      <c r="B228" s="30"/>
      <c r="C228" s="29"/>
      <c r="D228" s="29"/>
      <c r="E228" s="29"/>
    </row>
    <row r="229" spans="2:5" x14ac:dyDescent="0.3">
      <c r="B229" s="28"/>
      <c r="C229" s="29"/>
      <c r="D229" s="29"/>
      <c r="E229" s="29"/>
    </row>
    <row r="230" spans="2:5" x14ac:dyDescent="0.3">
      <c r="B230" s="30"/>
      <c r="C230" s="29"/>
      <c r="D230" s="29"/>
      <c r="E230" s="29"/>
    </row>
    <row r="231" spans="2:5" x14ac:dyDescent="0.3">
      <c r="B231" s="28"/>
      <c r="C231" s="29"/>
      <c r="D231" s="29"/>
      <c r="E231" s="29"/>
    </row>
  </sheetData>
  <mergeCells count="8">
    <mergeCell ref="B56:D56"/>
    <mergeCell ref="G52:I52"/>
    <mergeCell ref="B72:E72"/>
    <mergeCell ref="B20:D20"/>
    <mergeCell ref="B30:D30"/>
    <mergeCell ref="B40:D40"/>
    <mergeCell ref="C41:E41"/>
    <mergeCell ref="F41:H4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2026-02-17T12:54:54Z</dcterms:created>
  <dcterms:modified xsi:type="dcterms:W3CDTF">2026-02-24T11:59:36Z</dcterms:modified>
</cp:coreProperties>
</file>