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on\Desktop\"/>
    </mc:Choice>
  </mc:AlternateContent>
  <xr:revisionPtr revIDLastSave="0" documentId="13_ncr:1_{9B2061F6-A771-47DC-9074-8539C49178D5}" xr6:coauthVersionLast="47" xr6:coauthVersionMax="47" xr10:uidLastSave="{00000000-0000-0000-0000-000000000000}"/>
  <bookViews>
    <workbookView xWindow="-120" yWindow="-120" windowWidth="29040" windowHeight="17640" activeTab="3" xr2:uid="{4B7951F0-6080-4DB1-96C5-68B6F650AC24}"/>
  </bookViews>
  <sheets>
    <sheet name="Успеваемость" sheetId="2" r:id="rId1"/>
    <sheet name="Бизнес_анализ" sheetId="3" r:id="rId2"/>
    <sheet name="Валидация" sheetId="4" r:id="rId3"/>
    <sheet name="Лист5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5" l="1"/>
  <c r="F2" i="5" s="1"/>
  <c r="E3" i="5"/>
  <c r="F3" i="5" s="1"/>
  <c r="E4" i="5"/>
  <c r="F4" i="5" s="1"/>
  <c r="E5" i="5"/>
  <c r="F5" i="5" s="1"/>
  <c r="E6" i="5"/>
  <c r="F6" i="5" s="1"/>
  <c r="C5" i="4"/>
  <c r="C4" i="4"/>
  <c r="D4" i="4" s="1"/>
  <c r="C3" i="4"/>
  <c r="D3" i="4" s="1"/>
  <c r="C2" i="4"/>
  <c r="D2" i="4" s="1"/>
  <c r="G3" i="3"/>
  <c r="G4" i="3"/>
  <c r="G5" i="3"/>
  <c r="G2" i="3"/>
  <c r="F3" i="3"/>
  <c r="F4" i="3"/>
  <c r="F5" i="3"/>
  <c r="F2" i="3"/>
  <c r="E3" i="3"/>
  <c r="E4" i="3"/>
  <c r="E5" i="3"/>
  <c r="E2" i="3"/>
  <c r="F3" i="2"/>
  <c r="F4" i="2"/>
  <c r="F5" i="2"/>
  <c r="F6" i="2"/>
  <c r="F2" i="2"/>
  <c r="E3" i="2"/>
  <c r="E4" i="2"/>
  <c r="E5" i="2"/>
  <c r="E6" i="2"/>
  <c r="E2" i="2"/>
  <c r="D6" i="4" l="1"/>
  <c r="D5" i="4"/>
</calcChain>
</file>

<file path=xl/sharedStrings.xml><?xml version="1.0" encoding="utf-8"?>
<sst xmlns="http://schemas.openxmlformats.org/spreadsheetml/2006/main" count="54" uniqueCount="35">
  <si>
    <t>Студент</t>
  </si>
  <si>
    <t>Баллы</t>
  </si>
  <si>
    <t>Посещение</t>
  </si>
  <si>
    <t>Доп. работа</t>
  </si>
  <si>
    <t>Автооценка</t>
  </si>
  <si>
    <t>Комментарий</t>
  </si>
  <si>
    <t>Иванов</t>
  </si>
  <si>
    <t>Да</t>
  </si>
  <si>
    <t>Петрова</t>
  </si>
  <si>
    <t>Нет</t>
  </si>
  <si>
    <t>Сидоров</t>
  </si>
  <si>
    <t>Козлов</t>
  </si>
  <si>
    <t>Николаев</t>
  </si>
  <si>
    <t>Товар</t>
  </si>
  <si>
    <t>Продажи</t>
  </si>
  <si>
    <t>Себестоимость</t>
  </si>
  <si>
    <t>Цена</t>
  </si>
  <si>
    <t>Прибыль</t>
  </si>
  <si>
    <t>Рентабельность</t>
  </si>
  <si>
    <t>Рекомендация</t>
  </si>
  <si>
    <t>Товар А</t>
  </si>
  <si>
    <t>Товар Б</t>
  </si>
  <si>
    <t>Товар В</t>
  </si>
  <si>
    <t>Товар Г</t>
  </si>
  <si>
    <t>Поле</t>
  </si>
  <si>
    <t>Значение</t>
  </si>
  <si>
    <t>Проверка</t>
  </si>
  <si>
    <t>Статус</t>
  </si>
  <si>
    <t>Имя</t>
  </si>
  <si>
    <t>Возраст</t>
  </si>
  <si>
    <t>Email</t>
  </si>
  <si>
    <t>Телефон</t>
  </si>
  <si>
    <t>Общий статус</t>
  </si>
  <si>
    <t>Баллы минимум</t>
  </si>
  <si>
    <t>Оценка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</si>
</sst>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0" applyNumberFormat="1"/>
    <xf numFmtId="9" fontId="0" fillId="0" borderId="0" xfId="1" applyFont="1"/>
  </cellXfs>
  <cellStyles count="2">
    <cellStyle name="Обычный" xfId="0" builtinId="0"/>
    <cellStyle name="Процентный" xfId="1" builtinId="5"/>
  </cellStyles>
  <dxfs count="10"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C57A7-11B8-4C9B-87E3-1A9AD92E24A3}">
  <dimension ref="A1:F6"/>
  <sheetViews>
    <sheetView workbookViewId="0">
      <selection activeCell="F6" sqref="A1:F6"/>
    </sheetView>
  </sheetViews>
  <sheetFormatPr defaultRowHeight="15" x14ac:dyDescent="0.25"/>
  <cols>
    <col min="3" max="3" width="25.42578125" customWidth="1"/>
    <col min="4" max="4" width="20.7109375" customWidth="1"/>
    <col min="5" max="5" width="19.85546875" customWidth="1"/>
    <col min="6" max="6" width="39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</v>
      </c>
      <c r="C2" s="1">
        <v>0.9</v>
      </c>
      <c r="D2" t="s">
        <v>7</v>
      </c>
      <c r="E2">
        <f>MIN(IF(AND(B2&gt;=85, C2&gt;=0.9), 5, IF(B2&gt;=70, 4, IF(B2&gt;=50, 3, 2))) + IF(D2="Да", 1, 0), 5)</f>
        <v>5</v>
      </c>
      <c r="F2" t="str">
        <f>IF(E2=5, "Отлично!", IF(E2=4, "Хорошо, но можно лучше", IF(E2=3, "Требует дополнительных занятий", "Необходима пересдача")))</f>
        <v>Отлично!</v>
      </c>
    </row>
    <row r="3" spans="1:6" x14ac:dyDescent="0.25">
      <c r="A3" t="s">
        <v>8</v>
      </c>
      <c r="B3">
        <v>92</v>
      </c>
      <c r="C3" s="1">
        <v>0.95</v>
      </c>
      <c r="D3" t="s">
        <v>9</v>
      </c>
      <c r="E3">
        <f t="shared" ref="E3:E6" si="0">MIN(IF(AND(B3&gt;=85, C3&gt;=0.9), 5, IF(B3&gt;=70, 4, IF(B3&gt;=50, 3, 2))) + IF(D3="Да", 1, 0), 5)</f>
        <v>5</v>
      </c>
      <c r="F3" t="str">
        <f t="shared" ref="F3:F6" si="1">IF(E3=5, "Отлично!", IF(E3=4, "Хорошо, но можно лучше", IF(E3=3, "Требует дополнительных занятий", "Необходима пересдача")))</f>
        <v>Отлично!</v>
      </c>
    </row>
    <row r="4" spans="1:6" x14ac:dyDescent="0.25">
      <c r="A4" t="s">
        <v>10</v>
      </c>
      <c r="B4">
        <v>45</v>
      </c>
      <c r="C4" s="1">
        <v>0.6</v>
      </c>
      <c r="D4" t="s">
        <v>7</v>
      </c>
      <c r="E4">
        <f t="shared" si="0"/>
        <v>3</v>
      </c>
      <c r="F4" t="str">
        <f t="shared" si="1"/>
        <v>Требует дополнительных занятий</v>
      </c>
    </row>
    <row r="5" spans="1:6" x14ac:dyDescent="0.25">
      <c r="A5" t="s">
        <v>11</v>
      </c>
      <c r="B5">
        <v>78</v>
      </c>
      <c r="C5" s="1">
        <v>0.85</v>
      </c>
      <c r="D5" t="s">
        <v>9</v>
      </c>
      <c r="E5">
        <f t="shared" si="0"/>
        <v>4</v>
      </c>
      <c r="F5" t="str">
        <f t="shared" si="1"/>
        <v>Хорошо, но можно лучше</v>
      </c>
    </row>
    <row r="6" spans="1:6" x14ac:dyDescent="0.25">
      <c r="A6" t="s">
        <v>12</v>
      </c>
      <c r="B6">
        <v>100</v>
      </c>
      <c r="C6" s="1">
        <v>1</v>
      </c>
      <c r="D6" t="s">
        <v>7</v>
      </c>
      <c r="E6">
        <f t="shared" si="0"/>
        <v>5</v>
      </c>
      <c r="F6" t="str">
        <f t="shared" si="1"/>
        <v>Отлично!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450E3-1523-4660-B153-18B06F41317B}">
  <dimension ref="A1:G5"/>
  <sheetViews>
    <sheetView workbookViewId="0">
      <selection activeCell="G2" sqref="G2"/>
    </sheetView>
  </sheetViews>
  <sheetFormatPr defaultRowHeight="15" x14ac:dyDescent="0.25"/>
  <cols>
    <col min="2" max="2" width="18.140625" customWidth="1"/>
    <col min="3" max="3" width="15.7109375" customWidth="1"/>
    <col min="4" max="4" width="12.7109375" customWidth="1"/>
    <col min="5" max="5" width="12.42578125" customWidth="1"/>
    <col min="6" max="6" width="18.7109375" customWidth="1"/>
    <col min="7" max="7" width="23.5703125" customWidth="1"/>
  </cols>
  <sheetData>
    <row r="1" spans="1:7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5">
      <c r="A2" t="s">
        <v>20</v>
      </c>
      <c r="B2">
        <v>150</v>
      </c>
      <c r="C2">
        <v>500</v>
      </c>
      <c r="D2">
        <v>800</v>
      </c>
      <c r="E2">
        <f>(D2-C2)*B2</f>
        <v>45000</v>
      </c>
      <c r="F2" s="2">
        <f>(D2-C2)/C2</f>
        <v>0.6</v>
      </c>
      <c r="G2" t="str">
        <f>IFERROR(IF(AND(F2&gt;0.3, B2&gt;100), "Увеличить производство",IF(AND(F2&gt;0.1, F2&lt;=0.3), "Оставить как есть",IF(AND(F2&gt;0, F2&lt;=0.1), "Провести оптимизацию",IF(F2&lt;=0, "Снять с производства", "Данные неполные")))),"Ошибка в данных")</f>
        <v>Увеличить производство</v>
      </c>
    </row>
    <row r="3" spans="1:7" x14ac:dyDescent="0.25">
      <c r="A3" t="s">
        <v>21</v>
      </c>
      <c r="B3">
        <v>80</v>
      </c>
      <c r="C3">
        <v>1200</v>
      </c>
      <c r="D3">
        <v>1500</v>
      </c>
      <c r="E3">
        <f t="shared" ref="E3:E5" si="0">(D3-C3)*B3</f>
        <v>24000</v>
      </c>
      <c r="F3" s="2">
        <f t="shared" ref="F3:F5" si="1">(D3-C3)/C3</f>
        <v>0.25</v>
      </c>
      <c r="G3" t="str">
        <f t="shared" ref="G3:G5" si="2">IFERROR(IF(AND(F3&gt;0.3, B3&gt;100), "Увеличить производство",IF(AND(F3&gt;0.1, F3&lt;=0.3), "Оставить как есть",IF(AND(F3&gt;0, F3&lt;=0.1), "Провести оптимизацию",IF(F3&lt;=0, "Снять с производства", "Данные неполные")))),"Ошибка в данных")</f>
        <v>Оставить как есть</v>
      </c>
    </row>
    <row r="4" spans="1:7" x14ac:dyDescent="0.25">
      <c r="A4" t="s">
        <v>22</v>
      </c>
      <c r="B4">
        <v>200</v>
      </c>
      <c r="C4">
        <v>300</v>
      </c>
      <c r="D4">
        <v>350</v>
      </c>
      <c r="E4">
        <f t="shared" si="0"/>
        <v>10000</v>
      </c>
      <c r="F4" s="2">
        <f t="shared" si="1"/>
        <v>0.16666666666666666</v>
      </c>
      <c r="G4" t="str">
        <f t="shared" si="2"/>
        <v>Оставить как есть</v>
      </c>
    </row>
    <row r="5" spans="1:7" x14ac:dyDescent="0.25">
      <c r="A5" t="s">
        <v>23</v>
      </c>
      <c r="B5">
        <v>50</v>
      </c>
      <c r="C5">
        <v>2000</v>
      </c>
      <c r="D5">
        <v>2200</v>
      </c>
      <c r="E5">
        <f t="shared" si="0"/>
        <v>10000</v>
      </c>
      <c r="F5" s="2">
        <f t="shared" si="1"/>
        <v>0.1</v>
      </c>
      <c r="G5" t="str">
        <f t="shared" si="2"/>
        <v>Провести оптимизацию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2E85E-D861-4604-BA25-3B06DD5C468E}">
  <dimension ref="A1:D6"/>
  <sheetViews>
    <sheetView workbookViewId="0">
      <selection activeCell="D6" sqref="D6"/>
    </sheetView>
  </sheetViews>
  <sheetFormatPr defaultRowHeight="15" x14ac:dyDescent="0.25"/>
  <cols>
    <col min="1" max="1" width="18.85546875" customWidth="1"/>
    <col min="2" max="2" width="20.7109375" customWidth="1"/>
    <col min="3" max="3" width="15.140625" customWidth="1"/>
    <col min="4" max="4" width="17.28515625" customWidth="1"/>
    <col min="8" max="8" width="17.5703125" customWidth="1"/>
    <col min="9" max="9" width="20.85546875" customWidth="1"/>
  </cols>
  <sheetData>
    <row r="1" spans="1:4" x14ac:dyDescent="0.25">
      <c r="A1" t="s">
        <v>24</v>
      </c>
      <c r="B1" t="s">
        <v>25</v>
      </c>
      <c r="C1" t="s">
        <v>26</v>
      </c>
      <c r="D1" t="s">
        <v>27</v>
      </c>
    </row>
    <row r="2" spans="1:4" x14ac:dyDescent="0.25">
      <c r="A2" t="s">
        <v>28</v>
      </c>
      <c r="C2" t="b">
        <f>NOT(ISBLANK(B2))</f>
        <v>0</v>
      </c>
      <c r="D2" t="str">
        <f>IF(C2, "✓ OK", "✗ Ошибка")</f>
        <v>✗ Ошибка</v>
      </c>
    </row>
    <row r="3" spans="1:4" x14ac:dyDescent="0.25">
      <c r="A3" t="s">
        <v>29</v>
      </c>
      <c r="C3" t="b">
        <f>AND(ISNUMBER(B3), B3&gt;=18, B3&lt;=100)</f>
        <v>0</v>
      </c>
      <c r="D3" t="str">
        <f t="shared" ref="D3:D5" si="0">IF(C3, "✓ OK", "✗ Ошибка")</f>
        <v>✗ Ошибка</v>
      </c>
    </row>
    <row r="4" spans="1:4" x14ac:dyDescent="0.25">
      <c r="A4" t="s">
        <v>30</v>
      </c>
      <c r="C4" t="b">
        <f>AND(NOT(ISBLANK(B4)), ISNUMBER(SEARCH("@", B4)))</f>
        <v>0</v>
      </c>
      <c r="D4" t="str">
        <f t="shared" si="0"/>
        <v>✗ Ошибка</v>
      </c>
    </row>
    <row r="5" spans="1:4" x14ac:dyDescent="0.25">
      <c r="A5" t="s">
        <v>31</v>
      </c>
      <c r="C5" t="b">
        <f>AND(ISNUMBER(B5), LEN(B5)=11, LEFT(B5,1)="7")</f>
        <v>0</v>
      </c>
      <c r="D5" t="str">
        <f t="shared" si="0"/>
        <v>✗ Ошибка</v>
      </c>
    </row>
    <row r="6" spans="1:4" x14ac:dyDescent="0.25">
      <c r="A6" t="s">
        <v>32</v>
      </c>
      <c r="D6" t="str">
        <f>IF(AND(C2,C3,C4,C5), "Все данные корректны", "Есть ошибки!")</f>
        <v>Есть ошибки!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70239-3E16-4104-BBD8-CCC32D72176F}">
  <dimension ref="A1:I6"/>
  <sheetViews>
    <sheetView tabSelected="1" workbookViewId="0">
      <selection activeCell="K25" sqref="K25"/>
    </sheetView>
  </sheetViews>
  <sheetFormatPr defaultRowHeight="15" x14ac:dyDescent="0.25"/>
  <cols>
    <col min="1" max="1" width="13.5703125" customWidth="1"/>
    <col min="2" max="2" width="12.140625" customWidth="1"/>
    <col min="3" max="3" width="15.42578125" customWidth="1"/>
    <col min="4" max="4" width="18.28515625" customWidth="1"/>
    <col min="5" max="5" width="20.140625" customWidth="1"/>
    <col min="6" max="6" width="36.140625" customWidth="1"/>
    <col min="8" max="8" width="18.140625" customWidth="1"/>
    <col min="9" max="9" width="9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33</v>
      </c>
      <c r="I1" t="s">
        <v>34</v>
      </c>
    </row>
    <row r="2" spans="1:9" x14ac:dyDescent="0.25">
      <c r="A2" t="s">
        <v>6</v>
      </c>
      <c r="B2">
        <v>85</v>
      </c>
      <c r="C2" s="1">
        <v>0.9</v>
      </c>
      <c r="D2" t="s">
        <v>7</v>
      </c>
      <c r="E2">
        <f>MIN(VLOOKUP(B2, $H$2:$I$5, 2, TRUE) + IF(D2="Да", 1, 0), 5)</f>
        <v>5</v>
      </c>
      <c r="F2" t="str">
        <f>IF(E2=5, "Отлично!", IF(E2=4, "Хорошо, но можно лучше", IF(E2=3, "Требует дополнительных занятий", "Необходима пересдача")))</f>
        <v>Отлично!</v>
      </c>
      <c r="H2">
        <v>0</v>
      </c>
      <c r="I2">
        <v>2</v>
      </c>
    </row>
    <row r="3" spans="1:9" x14ac:dyDescent="0.25">
      <c r="A3" t="s">
        <v>8</v>
      </c>
      <c r="B3">
        <v>92</v>
      </c>
      <c r="C3" s="1">
        <v>0.95</v>
      </c>
      <c r="D3" t="s">
        <v>9</v>
      </c>
      <c r="E3">
        <f t="shared" ref="E3:E9" si="0">MIN(VLOOKUP(B3, $H$2:$I$5, 2, TRUE) + IF(D3="Да", 1, 0), 5)</f>
        <v>5</v>
      </c>
      <c r="F3" t="str">
        <f t="shared" ref="F3:F5" si="1">IF(E3=5, "Отлично!", IF(E3=4, "Хорошо, но можно лучше", IF(E3=3, "Требует дополнительных занятий", "Необходима пересдача")))</f>
        <v>Отлично!</v>
      </c>
      <c r="H3">
        <v>50</v>
      </c>
      <c r="I3">
        <v>3</v>
      </c>
    </row>
    <row r="4" spans="1:9" x14ac:dyDescent="0.25">
      <c r="A4" t="s">
        <v>10</v>
      </c>
      <c r="B4">
        <v>45</v>
      </c>
      <c r="C4" s="1">
        <v>0.6</v>
      </c>
      <c r="D4" t="s">
        <v>7</v>
      </c>
      <c r="E4">
        <f t="shared" si="0"/>
        <v>3</v>
      </c>
      <c r="F4" t="str">
        <f t="shared" si="1"/>
        <v>Требует дополнительных занятий</v>
      </c>
      <c r="H4">
        <v>70</v>
      </c>
      <c r="I4">
        <v>4</v>
      </c>
    </row>
    <row r="5" spans="1:9" x14ac:dyDescent="0.25">
      <c r="A5" t="s">
        <v>11</v>
      </c>
      <c r="B5">
        <v>78</v>
      </c>
      <c r="C5" s="1">
        <v>0.85</v>
      </c>
      <c r="D5" t="s">
        <v>9</v>
      </c>
      <c r="E5">
        <f t="shared" si="0"/>
        <v>4</v>
      </c>
      <c r="F5" t="str">
        <f t="shared" si="1"/>
        <v>Хорошо, но можно лучше</v>
      </c>
      <c r="H5">
        <v>85</v>
      </c>
      <c r="I5">
        <v>5</v>
      </c>
    </row>
    <row r="6" spans="1:9" x14ac:dyDescent="0.25">
      <c r="A6" t="s">
        <v>12</v>
      </c>
      <c r="B6">
        <v>100</v>
      </c>
      <c r="C6" s="1">
        <v>1</v>
      </c>
      <c r="D6" t="s">
        <v>7</v>
      </c>
      <c r="E6">
        <f t="shared" si="0"/>
        <v>5</v>
      </c>
      <c r="F6" t="str">
        <f>IF(E6=5, "Отлично!", IF(E6=4, "Хорошо, но можно лучше", IF(E6=3, "Требует дополнительных занятий", "Необходима пересдача")))</f>
        <v>Отлично!</v>
      </c>
    </row>
  </sheetData>
  <conditionalFormatting sqref="E2:E6">
    <cfRule type="expression" dxfId="4" priority="4">
      <formula>$E2=5</formula>
    </cfRule>
    <cfRule type="expression" dxfId="5" priority="3">
      <formula>$E2=4</formula>
    </cfRule>
    <cfRule type="expression" dxfId="6" priority="2">
      <formula>$E2=3</formula>
    </cfRule>
    <cfRule type="expression" dxfId="3" priority="1">
      <formula>$E2=2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Успеваемость</vt:lpstr>
      <vt:lpstr>Бизнес_анализ</vt:lpstr>
      <vt:lpstr>Валидация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Lemon</dc:creator>
  <cp:lastModifiedBy>Lemon</cp:lastModifiedBy>
  <dcterms:created xsi:type="dcterms:W3CDTF">2026-02-26T08:16:44Z</dcterms:created>
  <dcterms:modified xsi:type="dcterms:W3CDTF">2026-02-26T09:06:47Z</dcterms:modified>
</cp:coreProperties>
</file>