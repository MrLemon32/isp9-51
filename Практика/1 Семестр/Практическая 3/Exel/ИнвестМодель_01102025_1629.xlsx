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Ввод" sheetId="2" state="visible" r:id="rId2"/>
    <sheet name="Расчёты" sheetId="3" state="visible" r:id="rId3"/>
    <sheet name="Сценарии" sheetId="4" state="visible" r:id="rId4"/>
    <sheet name="Отчё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FFFFFF"/>
      <sz val="14"/>
    </font>
    <font>
      <b val="1"/>
      <color rgb="002F5496"/>
      <sz val="12"/>
    </font>
    <font>
      <b val="1"/>
      <sz val="10"/>
    </font>
    <font>
      <b val="1"/>
      <color rgb="002F5496"/>
      <sz val="20"/>
    </font>
    <font>
      <b val="1"/>
      <color rgb="002F5496"/>
      <sz val="14"/>
    </font>
    <font>
      <b val="1"/>
      <sz val="12"/>
    </font>
    <font>
      <b val="1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FFFF99"/>
        <bgColor rgb="00FFFF99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0" fillId="4" borderId="0" pivotButton="0" quotePrefix="0" xfId="0"/>
    <xf numFmtId="0" fontId="4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ФИНАНСОВАЯ МОДЕЛЬ ИНВЕСТИЦИОННОГО ПРОЕКТА</t>
        </is>
      </c>
    </row>
    <row r="3">
      <c r="A3" t="inlineStr">
        <is>
          <t>ИНСТРУКЦИЯ ПО ИСПОЛЬЗОВАНИЮ МОДЕЛИ</t>
        </is>
      </c>
    </row>
    <row r="4">
      <c r="A4" t="inlineStr"/>
    </row>
    <row r="5">
      <c r="A5" t="inlineStr">
        <is>
          <t>1. 📊 ВВОД ДАННЫХ - лист «Ввод»</t>
        </is>
      </c>
    </row>
    <row r="6">
      <c r="A6" t="inlineStr">
        <is>
          <t xml:space="preserve">   • Заполните параметры в желтых ячейках</t>
        </is>
      </c>
    </row>
    <row r="7">
      <c r="A7" t="inlineStr">
        <is>
          <t xml:space="preserve">   • Модель автоматически пересчитает показатели</t>
        </is>
      </c>
    </row>
    <row r="8">
      <c r="A8" t="inlineStr"/>
    </row>
    <row r="9">
      <c r="A9" t="inlineStr">
        <is>
          <t>2. 🔄 УПРАВЛЕНИЕ СЦЕНАРИЯМИ - лист «Сценарии»</t>
        </is>
      </c>
    </row>
    <row r="10">
      <c r="A10" t="inlineStr">
        <is>
          <t xml:space="preserve">   • Выберите один из 3 сценариев</t>
        </is>
      </c>
    </row>
    <row r="11">
      <c r="A11" t="inlineStr">
        <is>
          <t xml:space="preserve">   • Все графики обновляются автоматически</t>
        </is>
      </c>
    </row>
    <row r="12">
      <c r="A12" t="inlineStr"/>
    </row>
    <row r="13">
      <c r="A13" t="inlineStr">
        <is>
          <t>3. 📈 РЕЗУЛЬТАТЫ - лист «Отчёт»</t>
        </is>
      </c>
    </row>
    <row r="14">
      <c r="A14" t="inlineStr">
        <is>
          <t xml:space="preserve">   • Ключевые метрики: NPV, IRR, срок окупаемости</t>
        </is>
      </c>
    </row>
    <row r="15">
      <c r="A15" t="inlineStr">
        <is>
          <t xml:space="preserve">   • Автоматический статус проекта</t>
        </is>
      </c>
    </row>
    <row r="16">
      <c r="A16" t="inlineStr"/>
    </row>
    <row r="17">
      <c r="A17" t="inlineStr">
        <is>
          <t>ТЕХНИЧЕСКИЕ ХАРАКТЕРИСТИКИ:</t>
        </is>
      </c>
    </row>
    <row r="18">
      <c r="A18" t="inlineStr">
        <is>
          <t>• Формулы: Динамические массивы Excel 365</t>
        </is>
      </c>
    </row>
    <row r="19">
      <c r="A19" t="inlineStr">
        <is>
          <t>• Совместимость: Excel 2019 и новее</t>
        </is>
      </c>
    </row>
    <row r="20">
      <c r="A20" t="inlineStr">
        <is>
          <t>• Защита: Пароль для редактирования - 123</t>
        </is>
      </c>
    </row>
    <row r="21">
      <c r="A21" t="inlineStr"/>
    </row>
    <row r="22">
      <c r="A22" t="inlineStr">
        <is>
          <t>Создано: 01.10.2025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2" t="inlineStr">
        <is>
          <t>ПАРАМЕТРЫ ИНВЕСТИЦИОННОГО ПРОЕКТА</t>
        </is>
      </c>
    </row>
    <row r="3">
      <c r="A3" s="3" t="inlineStr">
        <is>
          <t>ОСНОВНЫЕ ПАРАМЕТРЫ ПРОЕКТА</t>
        </is>
      </c>
    </row>
    <row r="4">
      <c r="A4" s="4" t="inlineStr">
        <is>
          <t>Название проекта:</t>
        </is>
      </c>
      <c r="B4" s="5" t="inlineStr">
        <is>
          <t>Производство экологичной упаковки</t>
        </is>
      </c>
    </row>
    <row r="5">
      <c r="A5" s="4" t="inlineStr">
        <is>
          <t>Тип оборудования:</t>
        </is>
      </c>
      <c r="B5" s="5" t="inlineStr">
        <is>
          <t>Стандарт</t>
        </is>
      </c>
    </row>
    <row r="6">
      <c r="A6" s="4" t="inlineStr">
        <is>
          <t>Начальные инвестиции (₽):</t>
        </is>
      </c>
      <c r="B6" s="5" t="n">
        <v>5000000</v>
      </c>
    </row>
    <row r="7">
      <c r="A7" s="4" t="inlineStr">
        <is>
          <t>Срок проекта (лет):</t>
        </is>
      </c>
      <c r="B7" s="5" t="n">
        <v>5</v>
      </c>
    </row>
    <row r="8">
      <c r="A8" s="4" t="inlineStr">
        <is>
          <t>Ставка дисконтирования (%):</t>
        </is>
      </c>
      <c r="B8" s="5" t="n">
        <v>12</v>
      </c>
    </row>
    <row r="9">
      <c r="A9" s="4" t="inlineStr">
        <is>
          <t>Налог на прибыль (%):</t>
        </is>
      </c>
      <c r="B9" s="5" t="n">
        <v>20</v>
      </c>
    </row>
    <row r="10">
      <c r="A10" s="3" t="inlineStr"/>
    </row>
    <row r="11">
      <c r="A11" s="3" t="inlineStr">
        <is>
          <t>ПРОИЗВОДСТВЕННЫЕ ПОКАЗАТЕЛИ</t>
        </is>
      </c>
    </row>
    <row r="12">
      <c r="A12" s="4" t="inlineStr">
        <is>
          <t>Начальный объём производства (ед./год):</t>
        </is>
      </c>
      <c r="B12" s="5" t="n">
        <v>100000</v>
      </c>
    </row>
    <row r="13">
      <c r="A13" s="4" t="inlineStr">
        <is>
          <t>Годовой рост объёма (%):</t>
        </is>
      </c>
      <c r="B13" s="5" t="n">
        <v>5</v>
      </c>
    </row>
    <row r="14">
      <c r="A14" s="4" t="inlineStr">
        <is>
          <t>Цена за единицу (₽):</t>
        </is>
      </c>
      <c r="B14" s="5" t="n">
        <v>50</v>
      </c>
    </row>
    <row r="15">
      <c r="A15" s="4" t="inlineStr">
        <is>
          <t>Переменные издержки (₽/ед.):</t>
        </is>
      </c>
      <c r="B15" s="5" t="n">
        <v>25</v>
      </c>
    </row>
    <row r="16">
      <c r="A16" s="4" t="inlineStr">
        <is>
          <t>Постоянные издержки (₽/год):</t>
        </is>
      </c>
      <c r="B16" s="5" t="n">
        <v>1000000</v>
      </c>
    </row>
  </sheetData>
  <mergeCells count="4">
    <mergeCell ref="A3:B3"/>
    <mergeCell ref="A11:B11"/>
    <mergeCell ref="A10:B10"/>
    <mergeCell ref="A1:B1"/>
  </mergeCells>
  <dataValidations count="1">
    <dataValidation sqref="B4" showDropDown="0" showInputMessage="0" showErrorMessage="0" allowBlank="0" type="list">
      <formula1>"Стандарт,Премиум"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ФИНАНСОВЫЕ РАСЧЁТЫ</t>
        </is>
      </c>
    </row>
    <row r="3">
      <c r="A3" s="6" t="inlineStr">
        <is>
          <t>Год</t>
        </is>
      </c>
      <c r="B3" s="6" t="inlineStr">
        <is>
          <t>Объём</t>
        </is>
      </c>
      <c r="C3" s="6" t="inlineStr">
        <is>
          <t>Выручка</t>
        </is>
      </c>
      <c r="D3" s="6" t="inlineStr">
        <is>
          <t>Переменные затраты</t>
        </is>
      </c>
      <c r="E3" s="6" t="inlineStr">
        <is>
          <t>Постоянные затраты</t>
        </is>
      </c>
      <c r="F3" s="6" t="inlineStr">
        <is>
          <t>Амортизация</t>
        </is>
      </c>
      <c r="G3" s="6" t="inlineStr">
        <is>
          <t>EBITDA</t>
        </is>
      </c>
      <c r="H3" s="6" t="inlineStr">
        <is>
          <t>Налог</t>
        </is>
      </c>
      <c r="I3" s="6" t="inlineStr">
        <is>
          <t>Чистая прибыль</t>
        </is>
      </c>
      <c r="J3" s="6" t="inlineStr">
        <is>
          <t>FCF</t>
        </is>
      </c>
      <c r="K3" s="6" t="inlineStr">
        <is>
          <t>Накопленный FCF</t>
        </is>
      </c>
    </row>
    <row r="4">
      <c r="A4" t="n">
        <v>1</v>
      </c>
      <c r="B4">
        <f>Ввод!B10*(1+Ввод!B11)^0</f>
        <v/>
      </c>
      <c r="C4">
        <f>B4*Ввод!B12</f>
        <v/>
      </c>
      <c r="D4">
        <f>B4*Ввод!B13</f>
        <v/>
      </c>
      <c r="E4">
        <f>Ввод!B14</f>
        <v/>
      </c>
      <c r="F4">
        <f>Ввод!B5/5</f>
        <v/>
      </c>
      <c r="G4">
        <f>C4-D4-E4</f>
        <v/>
      </c>
      <c r="H4">
        <f>MAX(0,G4-F4)*Ввод!B8</f>
        <v/>
      </c>
      <c r="I4">
        <f>G4-H4</f>
        <v/>
      </c>
      <c r="J4">
        <f>I4+F4</f>
        <v/>
      </c>
      <c r="K4">
        <f>J4</f>
        <v/>
      </c>
    </row>
    <row r="5">
      <c r="A5" t="n">
        <v>2</v>
      </c>
      <c r="B5">
        <f>Ввод!B10*(1+Ввод!B11)^1</f>
        <v/>
      </c>
      <c r="C5">
        <f>B5*Ввод!B12</f>
        <v/>
      </c>
      <c r="D5">
        <f>B5*Ввод!B13</f>
        <v/>
      </c>
      <c r="E5">
        <f>Ввод!B14</f>
        <v/>
      </c>
      <c r="F5">
        <f>Ввод!B5/5</f>
        <v/>
      </c>
      <c r="G5">
        <f>C5-D5-E5</f>
        <v/>
      </c>
      <c r="H5">
        <f>MAX(0,G5-F5)*Ввод!B8</f>
        <v/>
      </c>
      <c r="I5">
        <f>G5-H5</f>
        <v/>
      </c>
      <c r="J5">
        <f>I5+F5</f>
        <v/>
      </c>
      <c r="K5">
        <f>K4+J5</f>
        <v/>
      </c>
    </row>
    <row r="6">
      <c r="A6" t="n">
        <v>3</v>
      </c>
      <c r="B6">
        <f>Ввод!B10*(1+Ввод!B11)^2</f>
        <v/>
      </c>
      <c r="C6">
        <f>B6*Ввод!B12</f>
        <v/>
      </c>
      <c r="D6">
        <f>B6*Ввод!B13</f>
        <v/>
      </c>
      <c r="E6">
        <f>Ввод!B14</f>
        <v/>
      </c>
      <c r="F6">
        <f>Ввод!B5/5</f>
        <v/>
      </c>
      <c r="G6">
        <f>C6-D6-E6</f>
        <v/>
      </c>
      <c r="H6">
        <f>MAX(0,G6-F6)*Ввод!B8</f>
        <v/>
      </c>
      <c r="I6">
        <f>G6-H6</f>
        <v/>
      </c>
      <c r="J6">
        <f>I6+F6</f>
        <v/>
      </c>
      <c r="K6">
        <f>K5+J6</f>
        <v/>
      </c>
    </row>
    <row r="7">
      <c r="A7" t="n">
        <v>4</v>
      </c>
      <c r="B7">
        <f>Ввод!B10*(1+Ввод!B11)^3</f>
        <v/>
      </c>
      <c r="C7">
        <f>B7*Ввод!B12</f>
        <v/>
      </c>
      <c r="D7">
        <f>B7*Ввод!B13</f>
        <v/>
      </c>
      <c r="E7">
        <f>Ввод!B14</f>
        <v/>
      </c>
      <c r="F7">
        <f>Ввод!B5/5</f>
        <v/>
      </c>
      <c r="G7">
        <f>C7-D7-E7</f>
        <v/>
      </c>
      <c r="H7">
        <f>MAX(0,G7-F7)*Ввод!B8</f>
        <v/>
      </c>
      <c r="I7">
        <f>G7-H7</f>
        <v/>
      </c>
      <c r="J7">
        <f>I7+F7</f>
        <v/>
      </c>
      <c r="K7">
        <f>K6+J7</f>
        <v/>
      </c>
    </row>
    <row r="8">
      <c r="A8" t="n">
        <v>5</v>
      </c>
      <c r="B8">
        <f>Ввод!B10*(1+Ввод!B11)^4</f>
        <v/>
      </c>
      <c r="C8">
        <f>B8*Ввод!B12</f>
        <v/>
      </c>
      <c r="D8">
        <f>B8*Ввод!B13</f>
        <v/>
      </c>
      <c r="E8">
        <f>Ввод!B14</f>
        <v/>
      </c>
      <c r="F8">
        <f>Ввод!B5/5</f>
        <v/>
      </c>
      <c r="G8">
        <f>C8-D8-E8</f>
        <v/>
      </c>
      <c r="H8">
        <f>MAX(0,G8-F8)*Ввод!B8</f>
        <v/>
      </c>
      <c r="I8">
        <f>G8-H8</f>
        <v/>
      </c>
      <c r="J8">
        <f>I8+F8</f>
        <v/>
      </c>
      <c r="K8">
        <f>K7+J8</f>
        <v/>
      </c>
    </row>
    <row r="10">
      <c r="A10" s="7" t="inlineStr">
        <is>
          <t>КЛЮЧЕВЫЕ ФИНАНСОВЫЕ МЕТРИКИ</t>
        </is>
      </c>
    </row>
    <row r="11">
      <c r="A11" s="4" t="inlineStr">
        <is>
          <t>NPV (₽):</t>
        </is>
      </c>
      <c r="B11">
        <f>NPV(Ввод!B7/100,J4:J8)-Ввод!B5</f>
        <v/>
      </c>
    </row>
    <row r="12">
      <c r="A12" s="4" t="inlineStr">
        <is>
          <t>IRR (%):</t>
        </is>
      </c>
      <c r="B12">
        <f>IRR(({-Ввод!B5,J4:J8}))*100</f>
        <v/>
      </c>
    </row>
    <row r="13">
      <c r="A13" s="4" t="inlineStr">
        <is>
          <t>Срок окупаемости (лет):</t>
        </is>
      </c>
      <c r="B13">
        <f>MATCH(0,K4:K8,1)+(-INDEX(K4:K8,MATCH(0,K4:K8,1)-1))/INDEX(J4:J8,MATCH(0,K4:K8,1))</f>
        <v/>
      </c>
    </row>
    <row r="14">
      <c r="A14" s="4" t="inlineStr">
        <is>
          <t>Точка безубыточности (ед.):</t>
        </is>
      </c>
      <c r="B14">
        <f>Ввод!B14/(Ввод!B12-Ввод!B13)</f>
        <v/>
      </c>
    </row>
  </sheetData>
  <mergeCells count="2">
    <mergeCell ref="A1:K1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СЦЕНАРНЫЙ АНАЛИЗ</t>
        </is>
      </c>
    </row>
    <row r="3">
      <c r="A3" s="8" t="inlineStr">
        <is>
          <t>ВЫБЕРИТЕ СЦЕНАРИЙ:</t>
        </is>
      </c>
      <c r="B3" t="inlineStr">
        <is>
          <t>Базовый</t>
        </is>
      </c>
    </row>
    <row r="5">
      <c r="A5" s="8" t="inlineStr">
        <is>
          <t>ТАБЛИЦА СЦЕНАРИЕВ</t>
        </is>
      </c>
    </row>
    <row r="6">
      <c r="A6" s="6" t="inlineStr">
        <is>
          <t>Сценарий</t>
        </is>
      </c>
      <c r="B6" s="6" t="inlineStr">
        <is>
          <t>Объём</t>
        </is>
      </c>
      <c r="C6" s="6" t="inlineStr">
        <is>
          <t>Цена</t>
        </is>
      </c>
      <c r="D6" s="6" t="inlineStr">
        <is>
          <t>Рост%</t>
        </is>
      </c>
      <c r="E6" s="6" t="inlineStr">
        <is>
          <t>Переменные</t>
        </is>
      </c>
    </row>
    <row r="7">
      <c r="A7" t="inlineStr">
        <is>
          <t>Пессимистичный</t>
        </is>
      </c>
      <c r="B7" t="n">
        <v>80000</v>
      </c>
      <c r="C7" t="n">
        <v>45</v>
      </c>
      <c r="D7" t="n">
        <v>2</v>
      </c>
      <c r="E7" t="n">
        <v>28</v>
      </c>
    </row>
    <row r="8">
      <c r="A8" t="inlineStr">
        <is>
          <t>Базовый</t>
        </is>
      </c>
      <c r="B8" t="n">
        <v>100000</v>
      </c>
      <c r="C8" t="n">
        <v>50</v>
      </c>
      <c r="D8" t="n">
        <v>5</v>
      </c>
      <c r="E8" t="n">
        <v>25</v>
      </c>
    </row>
    <row r="9">
      <c r="A9" t="inlineStr">
        <is>
          <t>Оптимистичный</t>
        </is>
      </c>
      <c r="B9" t="n">
        <v>120000</v>
      </c>
      <c r="C9" t="n">
        <v>55</v>
      </c>
      <c r="D9" t="n">
        <v>8</v>
      </c>
      <c r="E9" t="n">
        <v>22</v>
      </c>
    </row>
  </sheetData>
  <mergeCells count="2">
    <mergeCell ref="A1:F1"/>
    <mergeCell ref="A5:F5"/>
  </mergeCells>
  <dataValidations count="1">
    <dataValidation sqref="B3" showDropDown="0" showInputMessage="0" showErrorMessage="0" allowBlank="0" type="list">
      <formula1>"Пессимистичный,Базовый,Оптимистичный"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8" customWidth="1" min="3" max="3"/>
  </cols>
  <sheetData>
    <row r="1">
      <c r="A1" s="9" t="inlineStr">
        <is>
          <t>ИНВЕСТИЦИОННЫЙ ОТЧЁТ</t>
        </is>
      </c>
    </row>
    <row r="3">
      <c r="A3" s="8" t="inlineStr">
        <is>
          <t>Информация о проекте:</t>
        </is>
      </c>
    </row>
    <row r="4">
      <c r="A4" s="4" t="inlineStr">
        <is>
          <t>Название проекта:</t>
        </is>
      </c>
      <c r="B4">
        <f>Ввод!B3</f>
        <v/>
      </c>
    </row>
    <row r="5">
      <c r="A5" s="4" t="inlineStr">
        <is>
          <t>Сценарий:</t>
        </is>
      </c>
      <c r="B5">
        <f>Сценарии!B3</f>
        <v/>
      </c>
    </row>
    <row r="6">
      <c r="A6" s="4" t="inlineStr">
        <is>
          <t>Дата анализа:</t>
        </is>
      </c>
      <c r="B6" t="inlineStr">
        <is>
          <t>01.10.2025</t>
        </is>
      </c>
    </row>
    <row r="7">
      <c r="A7" s="4" t="inlineStr">
        <is>
          <t>Срок проекта:</t>
        </is>
      </c>
      <c r="B7">
        <f>Ввод!B6 &amp; ' лет'</f>
        <v/>
      </c>
    </row>
    <row r="8">
      <c r="A8" s="10" t="inlineStr">
        <is>
          <t>КЛЮЧЕВЫЕ МЕТРИКИ ПРОЕКТА</t>
        </is>
      </c>
    </row>
    <row r="9">
      <c r="A9" s="4" t="inlineStr">
        <is>
          <t>NPV проекта:</t>
        </is>
      </c>
      <c r="B9">
        <f>Расчёты!B11</f>
        <v/>
      </c>
      <c r="C9" t="inlineStr">
        <is>
          <t>₽</t>
        </is>
      </c>
    </row>
    <row r="10">
      <c r="A10" s="4" t="inlineStr">
        <is>
          <t>Внутренняя норма доходности (IRR):</t>
        </is>
      </c>
      <c r="B10">
        <f>Расчёты!B12</f>
        <v/>
      </c>
      <c r="C10" t="inlineStr">
        <is>
          <t>%</t>
        </is>
      </c>
    </row>
    <row r="11">
      <c r="A11" s="4" t="inlineStr">
        <is>
          <t>Срок окупаемости:</t>
        </is>
      </c>
      <c r="B11">
        <f>Расчёты!B13</f>
        <v/>
      </c>
      <c r="C11" t="inlineStr">
        <is>
          <t>лет</t>
        </is>
      </c>
    </row>
    <row r="12">
      <c r="A12" s="4" t="inlineStr">
        <is>
          <t>Точка безубыточности:</t>
        </is>
      </c>
      <c r="B12">
        <f>Расчёты!B14</f>
        <v/>
      </c>
      <c r="C12" t="inlineStr">
        <is>
          <t>ед.</t>
        </is>
      </c>
    </row>
    <row r="14">
      <c r="A14" s="11" t="inlineStr">
        <is>
          <t>СТАТУС ПРОЕКТА:</t>
        </is>
      </c>
      <c r="B14" s="12">
        <f>ЕСЛИ(Расчёты!B12&gt;=15;"✅ РЕКОМЕНДУЕТСЯ";ЕСЛИ(Расчёты!B12&gt;=10;"⚠️ ТРЕБУЕТ ДОРАБОТКИ";"❌ ОТКЛОНЁН"))</f>
        <v/>
      </c>
    </row>
    <row r="16">
      <c r="A16" s="13" t="inlineStr">
        <is>
          <t>📤 ЭКСПОРТИРОВАТЬ ОТЧЁТ В PDF</t>
        </is>
      </c>
    </row>
    <row r="17"/>
    <row r="18"/>
  </sheetData>
  <mergeCells count="4">
    <mergeCell ref="A1:D1"/>
    <mergeCell ref="B14:D14"/>
    <mergeCell ref="A16:D18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2025-10-01T13:29:04Z</dcterms:created>
  <dcterms:modified xsi:type="dcterms:W3CDTF">2025-10-01T13:29:04Z</dcterms:modified>
</cp:coreProperties>
</file>